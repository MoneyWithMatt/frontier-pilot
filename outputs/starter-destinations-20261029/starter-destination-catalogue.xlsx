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00698174d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eer shortlists" sheetId="1" r:id="R8111e8d3b55540bc"/>
    <x:sheet xmlns:r="http://schemas.openxmlformats.org/officeDocument/2006/relationships" name="Catalogue" sheetId="2" r:id="Rd39747d72c7746ee"/>
    <x:sheet xmlns:r="http://schemas.openxmlformats.org/officeDocument/2006/relationships" name="Scoring" sheetId="3" r:id="Rb265731df7a8498c"/>
    <x:sheet xmlns:r="http://schemas.openxmlformats.org/officeDocument/2006/relationships" name="Aircraft and method" sheetId="4" r:id="R1665cb52825649ac"/>
    <x:sheet xmlns:r="http://schemas.openxmlformats.org/officeDocument/2006/relationships" name="Custom opportunities" sheetId="5" r:id="R5b9d724ac0374b9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.000000"/>
  </x:numFmts>
  <x:fonts count="4">
    <x:font>
      <x:sz val="11"/>
      <x:name val="Carlito"/>
    </x:font>
    <x:font>
      <x:sz val="10"/>
      <x:color rgb="FF24383D"/>
      <x:name val="Arial"/>
    </x:font>
    <x:font>
      <x:b/>
      <x:sz val="15"/>
      <x:color rgb="FF24383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E53"/>
      </x:patternFill>
    </x:fill>
    <x:fill>
      <x:patternFill patternType="solid">
        <x:fgColor rgb="FFF3E7B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5AAA3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93A28"/>
      </x:font>
      <x:fill>
        <x:patternFill patternType="solid">
          <x:bgColor rgb="FFF8DC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318c9ee574391" /><Relationship Type="http://schemas.openxmlformats.org/officeDocument/2006/relationships/theme" Target="/xl/theme/theme1.xml" Id="R89ca494ccea04590" /><Relationship Type="http://schemas.openxmlformats.org/officeDocument/2006/relationships/sheetMetadata" Target="/xl/metadata1.xml" Id="Rec94b92751de4ba9" /><Relationship Type="http://schemas.openxmlformats.org/officeDocument/2006/relationships/sharedStrings" Target="/xl/sharedStrings.xml" Id="R43c5d7f79dbd4ce6" /><Relationship Type="http://schemas.openxmlformats.org/officeDocument/2006/relationships/worksheet" Target="/xl/worksheets/sheet1.xml" Id="R8111e8d3b55540bc" /><Relationship Type="http://schemas.openxmlformats.org/officeDocument/2006/relationships/worksheet" Target="/xl/worksheets/sheet2.xml" Id="Rd39747d72c7746ee" /><Relationship Type="http://schemas.openxmlformats.org/officeDocument/2006/relationships/worksheet" Target="/xl/worksheets/sheet3.xml" Id="Rb265731df7a8498c" /><Relationship Type="http://schemas.openxmlformats.org/officeDocument/2006/relationships/worksheet" Target="/xl/worksheets/sheet4.xml" Id="R1665cb52825649ac" /><Relationship Type="http://schemas.openxmlformats.org/officeDocument/2006/relationships/worksheet" Target="/xl/worksheets/sheet5.xml" Id="R5b9d724ac0374b91" /></Relationships>
</file>

<file path=xl/tables/table1.xml><?xml version="1.0" encoding="utf-8"?>
<x:table xmlns:x="http://schemas.openxmlformats.org/spreadsheetml/2006/main" id="2" name="DestinationCatalogue" displayName="DestinationCatalogue" ref="A5:AX71" headerRowCount="1" totalsRowCount="0" totalsRowShown="0">
  <x:tableColumns count="50">
    <x:tableColumn id="1" name="Destination key"/>
    <x:tableColumn id="2" name="Destination name"/>
    <x:tableColumn id="3" name="Associated eligible careers"/>
    <x:tableColumn id="4" name="Region"/>
    <x:tableColumn id="5" name="Verification status"/>
    <x:tableColumn id="6" name="Recommendation / holds"/>
    <x:tableColumn id="7" name="Latitude WGS84"/>
    <x:tableColumn id="8" name="Longitude WGS84"/>
    <x:tableColumn id="9" name="Elevation ft"/>
    <x:tableColumn id="10" name="Database runway length m"/>
    <x:tableColumn id="11" name="Database runway width m"/>
    <x:tableColumn id="12" name="Database surface"/>
    <x:tableColumn id="13" name="Database runway orientation"/>
    <x:tableColumn id="14" name="Landing evidence / conflicts"/>
    <x:tableColumn id="15" name="Nearby facility / community"/>
    <x:tableColumn id="16" name="Operational purpose"/>
    <x:tableColumn id="17" name="Aircraft suitability"/>
    <x:tableColumn id="18" name="Simulator evidence"/>
    <x:tableColumn id="19" name="Eros direct NM"/>
    <x:tableColumn id="20" name="Walvis Bay direct NM"/>
    <x:tableColumn id="21" name="C152 airborne min"/>
    <x:tableColumn id="22" name="C208 airborne min"/>
    <x:tableColumn id="23" name="Baron airborne min"/>
    <x:tableColumn id="24" name="Bonanza airborne min"/>
    <x:tableColumn id="25" name="PA-28 airborne min"/>
    <x:tableColumn id="26" name="Cub airborne min"/>
    <x:tableColumn id="27" name="Vision Jet airborne min"/>
    <x:tableColumn id="28" name="H125 hypothetical min"/>
    <x:tableColumn id="29" name="Missionary gate"/>
    <x:tableColumn id="30" name="Missionary /100"/>
    <x:tableColumn id="31" name="Missionary experience /25"/>
    <x:tableColumn id="32" name="Safari gate"/>
    <x:tableColumn id="33" name="Safari /100"/>
    <x:tableColumn id="34" name="Safari experience /25"/>
    <x:tableColumn id="35" name="Industrial gate"/>
    <x:tableColumn id="36" name="Industrial /100"/>
    <x:tableColumn id="37" name="Industrial experience /25"/>
    <x:tableColumn id="38" name="Offshore gate"/>
    <x:tableColumn id="39" name="Offshore /100"/>
    <x:tableColumn id="40" name="Offshore experience /25"/>
    <x:tableColumn id="41" name="Existing memberships"/>
    <x:tableColumn id="42" name="Sim offset NM"/>
    <x:tableColumn id="43" name="Purpose / operator sources"/>
    <x:tableColumn id="44" name="Airport source"/>
    <x:tableColumn id="45" name="Coordinate basis"/>
    <x:tableColumn id="46" name="Research notes"/>
    <x:tableColumn id="47" name="OSM review link"/>
    <x:tableColumn id="48" name="Terrain / environment"/>
    <x:tableColumn id="49" name="Identifier classification"/>
    <x:tableColumn id="50" name="Research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reerAssessments" displayName="CareerAssessments" ref="A5:AE73" headerRowCount="1" totalsRowCount="0" totalsRowShown="0">
  <x:tableColumns count="31">
    <x:tableColumn id="1" name="Career"/>
    <x:tableColumn id="2" name="Destination key"/>
    <x:tableColumn id="3" name="Destination"/>
    <x:tableColumn id="4" name="Purpose gate"/>
    <x:tableColumn id="5" name="Recommendation"/>
    <x:tableColumn id="6" name="Purpose 0–5"/>
    <x:tableColumn id="7" name="Runway 0–5"/>
    <x:tableColumn id="8" name="Access 0–5"/>
    <x:tableColumn id="9" name="Variety 0–5"/>
    <x:tableColumn id="10" name="Suitability /100"/>
    <x:tableColumn id="11" name="Terrain 0–5"/>
    <x:tableColumn id="12" name="Approach 0–5"/>
    <x:tableColumn id="13" name="Runway interest 0–5"/>
    <x:tableColumn id="14" name="Remoteness 0–5"/>
    <x:tableColumn id="15" name="Diversity 0–5"/>
    <x:tableColumn id="16" name="Experience /25"/>
    <x:tableColumn id="17" name="Aircraft assessment"/>
    <x:tableColumn id="18" name="Base distance NM"/>
    <x:tableColumn id="19" name="Airborne min (reference type)"/>
    <x:tableColumn id="20" name="Operational purpose / inference"/>
    <x:tableColumn id="21" name="Research notes"/>
    <x:tableColumn id="22" name="Shortlist inclusion"/>
    <x:tableColumn id="23" name="Sort tie key"/>
    <x:tableColumn id="24" name="Career view"/>
    <x:tableColumn id="25" name="Key view"/>
    <x:tableColumn id="26" name="Name view"/>
    <x:tableColumn id="27" name="Suitability view"/>
    <x:tableColumn id="28" name="Experience view"/>
    <x:tableColumn id="29" name="Decision view"/>
    <x:tableColumn id="30" name="Minutes view"/>
    <x:tableColumn id="31" name="Purpose 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Research" displayName="CustomResearch" ref="A5:G8" headerRowCount="1" totalsRowCount="0" totalsRowShown="0">
  <x:tableColumns count="7">
    <x:tableColumn id="1" name="Research key"/>
    <x:tableColumn id="2" name="Service area"/>
    <x:tableColumn id="3" name="Latitude"/>
    <x:tableColumn id="4" name="Longitude"/>
    <x:tableColumn id="5" name="Purpose"/>
    <x:tableColumn id="6" name="Assessment / prerequisites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3cc1236ff54c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22acddb46640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aa2a451bd364875" /></Relationships>
</file>

<file path=xl/worksheets/sheet1.xml><?xml version="1.0" encoding="utf-8"?>
<x:worksheet xmlns:x="http://schemas.openxmlformats.org/spreadsheetml/2006/main">
  <x:sheetPr>
    <x:tabColor rgb="FF304E53"/>
  </x:sheetPr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20" hidden="0" customWidth="1"/>
    <x:col min="5" max="5" width="17" hidden="0" customWidth="1"/>
    <x:col min="6" max="6" width="30" hidden="0" customWidth="1"/>
    <x:col min="7" max="7" width="20" hidden="0" customWidth="1"/>
    <x:col min="8" max="8" width="74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Ranked validation shortlists · no flight approval</x:v>
      </x:c>
      <x:c r="B2" s="5"/>
      <x:c r="C2" s="5"/>
      <x:c r="D2" s="5"/>
      <x:c r="E2" s="5"/>
      <x:c r="F2" s="5"/>
      <x:c r="G2" s="5"/>
      <x:c r="H2" s="5"/>
    </x:row>
    <x:row r="3" ht="35" customHeight="1">
      <x:c r="A3" s="7" t="str">
        <x:v>Purpose first; suitability /100 and anticipated flying /25 stay separate. Held/rejected pairs remain on Scoring.</x:v>
      </x:c>
      <x:c r="B3" s="7"/>
      <x:c r="C3" s="7"/>
      <x:c r="D3" s="7"/>
      <x:c r="E3" s="7"/>
      <x:c r="F3" s="7"/>
      <x:c r="G3" s="7"/>
      <x:c r="H3" s="7"/>
    </x:row>
    <x:row r="4" ht="30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10" t="str">
        <x:v>Career</x:v>
      </x:c>
      <x:c r="B5" s="10" t="str">
        <x:v>Key</x:v>
      </x:c>
      <x:c r="C5" s="10" t="str">
        <x:v>Destination</x:v>
      </x:c>
      <x:c r="D5" s="10" t="str">
        <x:v>Suitability /100</x:v>
      </x:c>
      <x:c r="E5" s="10" t="str">
        <x:v>Flying /25</x:v>
      </x:c>
      <x:c r="F5" s="10" t="str">
        <x:v>Recommendation</x:v>
      </x:c>
      <x:c r="G5" s="10" t="str">
        <x:v>Airborne min</x:v>
      </x:c>
      <x:c r="H5" s="10" t="str">
        <x:v>Operational reason</x:v>
      </x:c>
    </x:row>
    <x:row r="6" ht="72" customHeight="1">
      <x:c r="A6" s="2" t="str" cm="1">
        <x:f t="array" ref="A6:H22">_xlfn._xlws.SORT(_xlfn._xlws.FILTER(Scoring!X6:AE73,(Scoring!A6:A73="Missionary")*(Scoring!V6:V73=1)),4,-1)</x:f>
        <x:v>Missionary</x:v>
      </x:c>
      <x:c r="B6" s="2" t="str">
        <x:v>FYAM</x:v>
      </x:c>
      <x:c r="C6" s="7" t="str">
        <x:v>Aminuis Airstrip</x:v>
      </x:c>
      <x:c r="D6" s="2" t="n">
        <x:v>88</x:v>
      </x:c>
      <x:c r="E6" s="2" t="n">
        <x:v>18</x:v>
      </x:c>
      <x:c r="F6" s="7" t="str">
        <x:v>Priority validation</x:v>
      </x:c>
      <x:c r="G6" s="2" t="n">
        <x:v>70</x:v>
      </x:c>
      <x:c r="H6" s="7" t="str">
        <x:v>Aminuis clinic, schools and rural settlement — Clinic/school supplies and community personnel; proposed game work, not a claim of an existing aviation contract.</x:v>
      </x:c>
    </x:row>
    <x:row r="7" ht="72" customHeight="1">
      <x:c r="A7" s="2" t="str">
        <x:v>Missionary</x:v>
      </x:c>
      <x:c r="B7" s="2" t="str">
        <x:v>NA-0114</x:v>
      </x:c>
      <x:c r="C7" s="7" t="str">
        <x:v>Leonardville Airport</x:v>
      </x:c>
      <x:c r="D7" s="2" t="n">
        <x:v>88</x:v>
      </x:c>
      <x:c r="E7" s="2" t="n">
        <x:v>17</x:v>
      </x:c>
      <x:c r="F7" s="7" t="str">
        <x:v>Priority validation</x:v>
      </x:c>
      <x:c r="G7" s="2" t="n">
        <x:v>57</x:v>
      </x:c>
      <x:c r="H7" s="7" t="str">
        <x:v>Leonardville clinic, primary and secondary schools — Clinic/school supplies and community personnel; proposed game work, not a claim of an existing aviation contract.</x:v>
      </x:c>
    </x:row>
    <x:row r="8" ht="72" customHeight="1">
      <x:c r="A8" s="2" t="str">
        <x:v>Missionary</x:v>
      </x:c>
      <x:c r="B8" s="2" t="str">
        <x:v>FYKJ</x:v>
      </x:c>
      <x:c r="C8" s="7" t="str">
        <x:v>Kamanjab Airport</x:v>
      </x:c>
      <x:c r="D8" s="2" t="n">
        <x:v>84</x:v>
      </x:c>
      <x:c r="E8" s="2" t="n">
        <x:v>18</x:v>
      </x:c>
      <x:c r="F8" s="7" t="str">
        <x:v>Priority validation</x:v>
      </x:c>
      <x:c r="G8" s="2" t="n">
        <x:v>106</x:v>
      </x:c>
      <x:c r="H8" s="7" t="str">
        <x:v>Kamanjab health centre and schools — Clinic/school supplies and community personnel; proposed game work, not a claim of an existing aviation contract.</x:v>
      </x:c>
    </x:row>
    <x:row r="9" ht="72" customHeight="1">
      <x:c r="A9" s="2" t="str">
        <x:v>Missionary</x:v>
      </x:c>
      <x:c r="B9" s="2" t="str">
        <x:v>NA-0014</x:v>
      </x:c>
      <x:c r="C9" s="7" t="str">
        <x:v>Dordabis Carpet Airport</x:v>
      </x:c>
      <x:c r="D9" s="2" t="n">
        <x:v>83</x:v>
      </x:c>
      <x:c r="E9" s="2" t="n">
        <x:v>19</x:v>
      </x:c>
      <x:c r="F9" s="7" t="str">
        <x:v>Priority validation</x:v>
      </x:c>
      <x:c r="G9" s="2" t="n">
        <x:v>26</x:v>
      </x:c>
      <x:c r="H9" s="7" t="str">
        <x:v>Dordabis clinic and community service area — Clinic/school supplies and community personnel; proposed game work, not a claim of an existing aviation contract.</x:v>
      </x:c>
    </x:row>
    <x:row r="10" ht="72" customHeight="1">
      <x:c r="A10" s="2" t="str">
        <x:v>Missionary</x:v>
      </x:c>
      <x:c r="B10" s="2" t="str">
        <x:v>FYSF</x:v>
      </x:c>
      <x:c r="C10" s="7" t="str">
        <x:v>Sesfontein Airport</x:v>
      </x:c>
      <x:c r="D10" s="2" t="n">
        <x:v>80</x:v>
      </x:c>
      <x:c r="E10" s="2" t="n">
        <x:v>22</x:v>
      </x:c>
      <x:c r="F10" s="7" t="str">
        <x:v>Priority validation</x:v>
      </x:c>
      <x:c r="G10" s="2" t="n">
        <x:v>132</x:v>
      </x:c>
      <x:c r="H10" s="7" t="str">
        <x:v>Sesfontein health centre and surrounding communities — Clinic/school supplies and community personnel; proposed game work, not a claim of an existing aviation contract.</x:v>
      </x:c>
    </x:row>
    <x:row r="11" ht="72" customHeight="1">
      <x:c r="A11" s="2" t="str">
        <x:v>Missionary</x:v>
      </x:c>
      <x:c r="B11" s="2" t="str">
        <x:v>FYGB</x:v>
      </x:c>
      <x:c r="C11" s="7" t="str">
        <x:v>Gobabis Airport</x:v>
      </x:c>
      <x:c r="D11" s="2" t="n">
        <x:v>80</x:v>
      </x:c>
      <x:c r="E11" s="2" t="n">
        <x:v>14</x:v>
      </x:c>
      <x:c r="F11" s="7" t="str">
        <x:v>Priority validation</x:v>
      </x:c>
      <x:c r="G11" s="2" t="n">
        <x:v>55</x:v>
      </x:c>
      <x:c r="H11" s="7" t="str">
        <x:v>Gobabis district hospital / Omaheke referral network — Clinic/school supplies and community personnel; proposed game work, not a claim of an existing aviation contract.</x:v>
      </x:c>
    </x:row>
    <x:row r="12" ht="72" customHeight="1">
      <x:c r="A12" s="2" t="str">
        <x:v>Missionary</x:v>
      </x:c>
      <x:c r="B12" s="2" t="str">
        <x:v>FYOP</x:v>
      </x:c>
      <x:c r="C12" s="7" t="str">
        <x:v>Opuwa Airport</x:v>
      </x:c>
      <x:c r="D12" s="2" t="n">
        <x:v>76</x:v>
      </x:c>
      <x:c r="E12" s="2" t="n">
        <x:v>19</x:v>
      </x:c>
      <x:c r="F12" s="7" t="str">
        <x:v>Priority validation</x:v>
      </x:c>
      <x:c r="G12" s="2" t="n">
        <x:v>150</x:v>
      </x:c>
      <x:c r="H12" s="7" t="str">
        <x:v>Opuwo hospital, laboratory and outreach network — Clinic/school supplies and community personnel; proposed game work, not a claim of an existing aviation contract.</x:v>
      </x:c>
    </x:row>
    <x:row r="13" ht="72" customHeight="1">
      <x:c r="A13" s="2" t="str">
        <x:v>Missionary</x:v>
      </x:c>
      <x:c r="B13" s="2" t="str">
        <x:v>FYTK</x:v>
      </x:c>
      <x:c r="C13" s="7" t="str">
        <x:v>Tsumkwe Airport</x:v>
      </x:c>
      <x:c r="D13" s="2" t="n">
        <x:v>76</x:v>
      </x:c>
      <x:c r="E13" s="2" t="n">
        <x:v>20</x:v>
      </x:c>
      <x:c r="F13" s="7" t="str">
        <x:v>Priority validation</x:v>
      </x:c>
      <x:c r="G13" s="2" t="n">
        <x:v>122</x:v>
      </x:c>
      <x:c r="H13" s="7" t="str">
        <x:v>Tsumkwe / Nyae Nyae community and conservancy — Clinic/school supplies and community personnel; proposed game work, not a claim of an existing aviation contract.</x:v>
      </x:c>
    </x:row>
    <x:row r="14" ht="72" customHeight="1">
      <x:c r="A14" s="2" t="str">
        <x:v>Missionary</x:v>
      </x:c>
      <x:c r="B14" s="2" t="str">
        <x:v>FYOJ</x:v>
      </x:c>
      <x:c r="C14" s="7" t="str">
        <x:v>Outjo Airport</x:v>
      </x:c>
      <x:c r="D14" s="2" t="n">
        <x:v>76</x:v>
      </x:c>
      <x:c r="E14" s="2" t="n">
        <x:v>14</x:v>
      </x:c>
      <x:c r="F14" s="7" t="str">
        <x:v>Priority validation</x:v>
      </x:c>
      <x:c r="G14" s="2" t="n">
        <x:v>79</x:v>
      </x:c>
      <x:c r="H14" s="7" t="str">
        <x:v>Outjo hospital and clinic — Clinic/school supplies and community personnel; proposed game work, not a claim of an existing aviation contract.</x:v>
      </x:c>
    </x:row>
    <x:row r="15" ht="72" customHeight="1">
      <x:c r="A15" s="2" t="str">
        <x:v>Missionary</x:v>
      </x:c>
      <x:c r="B15" s="2" t="str">
        <x:v>FYRU</x:v>
      </x:c>
      <x:c r="C15" s="7" t="str">
        <x:v>Rundu Airport</x:v>
      </x:c>
      <x:c r="D15" s="2" t="n">
        <x:v>73</x:v>
      </x:c>
      <x:c r="E15" s="2" t="n">
        <x:v>14</x:v>
      </x:c>
      <x:c r="F15" s="7" t="str">
        <x:v>Extended network</x:v>
      </x:c>
      <x:c r="G15" s="2" t="n">
        <x:v>145</x:v>
      </x:c>
      <x:c r="H15" s="7" t="str">
        <x:v>Rundu referral hospital and regional services — Clinic/school supplies and community personnel; proposed game work, not a claim of an existing aviation contract.</x:v>
      </x:c>
    </x:row>
    <x:row r="16" ht="72" customHeight="1">
      <x:c r="A16" s="2" t="str">
        <x:v>Missionary</x:v>
      </x:c>
      <x:c r="B16" s="2" t="str">
        <x:v>FYOS</x:v>
      </x:c>
      <x:c r="C16" s="7" t="str">
        <x:v>Oshakati Airport</x:v>
      </x:c>
      <x:c r="D16" s="2" t="n">
        <x:v>73</x:v>
      </x:c>
      <x:c r="E16" s="2" t="n">
        <x:v>11</x:v>
      </x:c>
      <x:c r="F16" s="7" t="str">
        <x:v>Extended network</x:v>
      </x:c>
      <x:c r="G16" s="2" t="n">
        <x:v>138</x:v>
      </x:c>
      <x:c r="H16" s="7" t="str">
        <x:v>Oshakati intermediate hospital — Clinic/school supplies and community personnel; proposed game work, not a claim of an existing aviation contract.</x:v>
      </x:c>
    </x:row>
    <x:row r="17" ht="72" customHeight="1">
      <x:c r="A17" s="2" t="str">
        <x:v>Missionary</x:v>
      </x:c>
      <x:c r="B17" s="2" t="str">
        <x:v>FYEN</x:v>
      </x:c>
      <x:c r="C17" s="7" t="str">
        <x:v>Eenhana Airport</x:v>
      </x:c>
      <x:c r="D17" s="2" t="n">
        <x:v>68</x:v>
      </x:c>
      <x:c r="E17" s="2" t="n">
        <x:v>11</x:v>
      </x:c>
      <x:c r="F17" s="7" t="str">
        <x:v>Extended network</x:v>
      </x:c>
      <x:c r="G17" s="2" t="n">
        <x:v>143</x:v>
      </x:c>
      <x:c r="H17" s="7" t="str">
        <x:v>Eenhana district hospital and community services — Clinic/school supplies and community personnel; proposed game work, not a claim of an existing aviation contract.</x:v>
      </x:c>
    </x:row>
    <x:row r="18" ht="72" customHeight="1">
      <x:c r="A18" s="2" t="str">
        <x:v>Missionary</x:v>
      </x:c>
      <x:c r="B18" s="2" t="str">
        <x:v>FYEF</x:v>
      </x:c>
      <x:c r="C18" s="7" t="str">
        <x:v>Epupa Falls Airstrip.</x:v>
      </x:c>
      <x:c r="D18" s="2" t="n">
        <x:v>67</x:v>
      </x:c>
      <x:c r="E18" s="2" t="n">
        <x:v>23</x:v>
      </x:c>
      <x:c r="F18" s="7" t="str">
        <x:v>Extended network</x:v>
      </x:c>
      <x:c r="G18" s="2" t="n">
        <x:v>181</x:v>
      </x:c>
      <x:c r="H18" s="7" t="str">
        <x:v>Epupa Clinic and Kunene communities — Clinic/school supplies and community personnel; proposed game work, not a claim of an existing aviation contract.</x:v>
      </x:c>
    </x:row>
    <x:row r="19" ht="72" customHeight="1">
      <x:c r="A19" s="2" t="str">
        <x:v>Missionary</x:v>
      </x:c>
      <x:c r="B19" s="2" t="str">
        <x:v>NA-0169</x:v>
      </x:c>
      <x:c r="C19" s="7" t="str">
        <x:v>Ehomba Airport</x:v>
      </x:c>
      <x:c r="D19" s="2" t="n">
        <x:v>67</x:v>
      </x:c>
      <x:c r="E19" s="2" t="n">
        <x:v>21</x:v>
      </x:c>
      <x:c r="F19" s="7" t="str">
        <x:v>Extended network</x:v>
      </x:c>
      <x:c r="G19" s="2" t="n">
        <x:v>163</x:v>
      </x:c>
      <x:c r="H19" s="7" t="str">
        <x:v>Ehomba Combined School and feeder schools — Clinic/school supplies and community personnel; proposed game work, not a claim of an existing aviation contract.</x:v>
      </x:c>
    </x:row>
    <x:row r="20" ht="72" customHeight="1">
      <x:c r="A20" s="2" t="str">
        <x:v>Missionary</x:v>
      </x:c>
      <x:c r="B20" s="2" t="str">
        <x:v>FYOE</x:v>
      </x:c>
      <x:c r="C20" s="7" t="str">
        <x:v>Omega Airport</x:v>
      </x:c>
      <x:c r="D20" s="2" t="n">
        <x:v>67</x:v>
      </x:c>
      <x:c r="E20" s="2" t="n">
        <x:v>20</x:v>
      </x:c>
      <x:c r="F20" s="7" t="str">
        <x:v>Extended network</x:v>
      </x:c>
      <x:c r="G20" s="2" t="n">
        <x:v>180</x:v>
      </x:c>
      <x:c r="H20" s="7" t="str">
        <x:v>Omega clinic and settlement — Clinic/school supplies and community personnel; proposed game work, not a claim of an existing aviation contract.</x:v>
      </x:c>
    </x:row>
    <x:row r="21" ht="72" customHeight="1">
      <x:c r="A21" s="2" t="str">
        <x:v>Missionary</x:v>
      </x:c>
      <x:c r="B21" s="2" t="str">
        <x:v>NA-0171</x:v>
      </x:c>
      <x:c r="C21" s="7" t="str">
        <x:v>Outapi Airport</x:v>
      </x:c>
      <x:c r="D21" s="2" t="n">
        <x:v>59</x:v>
      </x:c>
      <x:c r="E21" s="2" t="n">
        <x:v>14</x:v>
      </x:c>
      <x:c r="F21" s="7" t="str">
        <x:v>Extended network</x:v>
      </x:c>
      <x:c r="G21" s="2" t="n">
        <x:v>148</x:v>
      </x:c>
      <x:c r="H21" s="7" t="str">
        <x:v>Outapi hospital and community services — Clinic/school supplies and community personnel; proposed game work, not a claim of an existing aviation contract.</x:v>
      </x:c>
    </x:row>
    <x:row r="22" ht="72" customHeight="1">
      <x:c r="A22" s="2" t="str">
        <x:v>Missionary</x:v>
      </x:c>
      <x:c r="B22" s="2" t="str">
        <x:v>FYOH</x:v>
      </x:c>
      <x:c r="C22" s="7" t="str">
        <x:v>Okahao Airport</x:v>
      </x:c>
      <x:c r="D22" s="2" t="n">
        <x:v>59</x:v>
      </x:c>
      <x:c r="E22" s="2" t="n">
        <x:v>14</x:v>
      </x:c>
      <x:c r="F22" s="7" t="str">
        <x:v>Extended network</x:v>
      </x:c>
      <x:c r="G22" s="2" t="n">
        <x:v>140</x:v>
      </x:c>
      <x:c r="H22" s="7" t="str">
        <x:v>Okahao district hospital and youth skills training — Clinic/school supplies and community personnel; proposed game work, not a claim of an existing aviation contract.</x:v>
      </x:c>
    </x:row>
    <x:row r="23" ht="72" customHeight="1">
      <x:c r="A23" s="2"/>
      <x:c r="B23" s="2"/>
      <x:c r="C23" s="7"/>
      <x:c r="D23" s="2"/>
      <x:c r="E23" s="2"/>
      <x:c r="F23" s="7"/>
      <x:c r="G23" s="2"/>
      <x:c r="H23" s="7"/>
    </x:row>
    <x:row r="24" ht="72" customHeight="1">
      <x:c r="A24" s="2"/>
      <x:c r="B24" s="2"/>
      <x:c r="C24" s="7"/>
      <x:c r="D24" s="2"/>
      <x:c r="E24" s="2"/>
      <x:c r="F24" s="7"/>
      <x:c r="G24" s="2"/>
      <x:c r="H24" s="7"/>
    </x:row>
    <x:row r="25" ht="72" customHeight="1">
      <x:c r="A25" s="2"/>
      <x:c r="B25" s="2"/>
      <x:c r="C25" s="7"/>
      <x:c r="D25" s="2"/>
      <x:c r="E25" s="2"/>
      <x:c r="F25" s="7"/>
      <x:c r="G25" s="2"/>
      <x:c r="H25" s="7"/>
    </x:row>
    <x:row r="26" ht="72" customHeight="1">
      <x:c r="A26" s="2"/>
      <x:c r="B26" s="2"/>
      <x:c r="C26" s="7"/>
      <x:c r="D26" s="2"/>
      <x:c r="E26" s="2"/>
      <x:c r="F26" s="7"/>
      <x:c r="G26" s="2"/>
      <x:c r="H26" s="7"/>
    </x:row>
    <x:row r="27" ht="72" customHeight="1">
      <x:c r="A27" s="2"/>
      <x:c r="B27" s="2"/>
      <x:c r="C27" s="7"/>
      <x:c r="D27" s="2"/>
      <x:c r="E27" s="2"/>
      <x:c r="F27" s="7"/>
      <x:c r="G27" s="2"/>
      <x:c r="H27" s="7"/>
    </x:row>
    <x:row r="28" ht="72" customHeight="1">
      <x:c r="A28" s="2"/>
      <x:c r="B28" s="2"/>
      <x:c r="C28" s="7"/>
      <x:c r="D28" s="2"/>
      <x:c r="E28" s="2"/>
      <x:c r="F28" s="7"/>
      <x:c r="G28" s="2"/>
      <x:c r="H28" s="7"/>
    </x:row>
    <x:row r="29" ht="72" customHeight="1">
      <x:c r="A29" s="2"/>
      <x:c r="B29" s="2"/>
      <x:c r="C29" s="7"/>
      <x:c r="D29" s="2"/>
      <x:c r="E29" s="2"/>
      <x:c r="F29" s="7"/>
      <x:c r="G29" s="2"/>
      <x:c r="H29" s="7"/>
    </x:row>
    <x:row r="30" ht="72" customHeight="1">
      <x:c r="A30" s="2"/>
      <x:c r="B30" s="2"/>
      <x:c r="C30" s="7"/>
      <x:c r="D30" s="2"/>
      <x:c r="E30" s="2"/>
      <x:c r="F30" s="7"/>
      <x:c r="G30" s="2"/>
      <x:c r="H30" s="7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</x:row>
    <x:row r="32" ht="42" customHeight="1">
      <x:c r="A32" s="10" t="str">
        <x:v>Career</x:v>
      </x:c>
      <x:c r="B32" s="10" t="str">
        <x:v>Key</x:v>
      </x:c>
      <x:c r="C32" s="10" t="str">
        <x:v>Destination</x:v>
      </x:c>
      <x:c r="D32" s="10" t="str">
        <x:v>Suitability /100</x:v>
      </x:c>
      <x:c r="E32" s="10" t="str">
        <x:v>Flying /25</x:v>
      </x:c>
      <x:c r="F32" s="10" t="str">
        <x:v>Recommendation</x:v>
      </x:c>
      <x:c r="G32" s="10" t="str">
        <x:v>Airborne min</x:v>
      </x:c>
      <x:c r="H32" s="10" t="str">
        <x:v>Operational reason</x:v>
      </x:c>
    </x:row>
    <x:row r="33" ht="72" customHeight="1">
      <x:c r="A33" s="2" t="str" cm="1">
        <x:f t="array" ref="A33:H49">_xlfn._xlws.SORT(_xlfn._xlws.FILTER(Scoring!X6:AE73,(Scoring!A6:A73="Safari")*(Scoring!V6:V73=1)),4,-1)</x:f>
        <x:v>Safari</x:v>
      </x:c>
      <x:c r="B33" s="2" t="str">
        <x:v>FYDN</x:v>
      </x:c>
      <x:c r="C33" s="7" t="str">
        <x:v>Doro Nawas Airstrip</x:v>
      </x:c>
      <x:c r="D33" s="2" t="n">
        <x:v>94</x:v>
      </x:c>
      <x:c r="E33" s="2" t="n">
        <x:v>21</x:v>
      </x:c>
      <x:c r="F33" s="7" t="str">
        <x:v>Priority validation</x:v>
      </x:c>
      <x:c r="G33" s="2" t="n">
        <x:v>97</x:v>
      </x:c>
      <x:c r="H33" s="7" t="str">
        <x:v>Wilderness Doro Nawas charter hub — Lodge/park staff, supplies and conservation equipment now; guest transport only through separately approved passenger capability.</x:v>
      </x:c>
    </x:row>
    <x:row r="34" ht="72" customHeight="1">
      <x:c r="A34" s="2" t="str">
        <x:v>Safari</x:v>
      </x:c>
      <x:c r="B34" s="2" t="str">
        <x:v>FYKN</x:v>
      </x:c>
      <x:c r="C34" s="7" t="str">
        <x:v>Okonjima Airport</x:v>
      </x:c>
      <x:c r="D34" s="2" t="n">
        <x:v>94</x:v>
      </x:c>
      <x:c r="E34" s="2" t="n">
        <x:v>21</x:v>
      </x:c>
      <x:c r="F34" s="7" t="str">
        <x:v>Priority validation</x:v>
      </x:c>
      <x:c r="G34" s="2" t="n">
        <x:v>56</x:v>
      </x:c>
      <x:c r="H34" s="7" t="str">
        <x:v>Okonjima Nature Reserve / AfriCat — Lodge/park staff, supplies and conservation equipment now; guest transport only through separately approved passenger capability.</x:v>
      </x:c>
    </x:row>
    <x:row r="35" ht="72" customHeight="1">
      <x:c r="A35" s="2" t="str">
        <x:v>Safari</x:v>
      </x:c>
      <x:c r="B35" s="2" t="str">
        <x:v>FYSO</x:v>
      </x:c>
      <x:c r="C35" s="7" t="str">
        <x:v>Solitaire Airport</x:v>
      </x:c>
      <x:c r="D35" s="2" t="n">
        <x:v>94</x:v>
      </x:c>
      <x:c r="E35" s="2" t="n">
        <x:v>20</x:v>
      </x:c>
      <x:c r="F35" s="7" t="str">
        <x:v>Priority validation</x:v>
      </x:c>
      <x:c r="G35" s="2" t="n">
        <x:v>52</x:v>
      </x:c>
      <x:c r="H35" s="7" t="str">
        <x:v>Solitaire Roadhouse / Mountain Lodge / Desert Camp — Lodge/park staff, supplies and conservation equipment now; guest transport only through separately approved passenger capability.</x:v>
      </x:c>
    </x:row>
    <x:row r="36" ht="72" customHeight="1">
      <x:c r="A36" s="2" t="str">
        <x:v>Safari</x:v>
      </x:c>
      <x:c r="B36" s="2" t="str">
        <x:v>FYTF</x:v>
      </x:c>
      <x:c r="C36" s="7" t="str">
        <x:v>Twyfelfontein Airport</x:v>
      </x:c>
      <x:c r="D36" s="2" t="n">
        <x:v>91</x:v>
      </x:c>
      <x:c r="E36" s="2" t="n">
        <x:v>20</x:v>
      </x:c>
      <x:c r="F36" s="7" t="str">
        <x:v>Priority validation</x:v>
      </x:c>
      <x:c r="G36" s="2" t="n">
        <x:v>94</x:v>
      </x:c>
      <x:c r="H36" s="7" t="str">
        <x:v>Twyfelfontein Country Lodge and rock-art access — Lodge/park staff, supplies and conservation equipment now; guest transport only through separately approved passenger capability.</x:v>
      </x:c>
    </x:row>
    <x:row r="37" ht="72" customHeight="1">
      <x:c r="A37" s="2" t="str">
        <x:v>Safari</x:v>
      </x:c>
      <x:c r="B37" s="2" t="str">
        <x:v>FYMO</x:v>
      </x:c>
      <x:c r="C37" s="7" t="str">
        <x:v>Mokuti Lodge Airport</x:v>
      </x:c>
      <x:c r="D37" s="2" t="n">
        <x:v>90</x:v>
      </x:c>
      <x:c r="E37" s="2" t="n">
        <x:v>16</x:v>
      </x:c>
      <x:c r="F37" s="7" t="str">
        <x:v>Priority validation</x:v>
      </x:c>
      <x:c r="G37" s="2" t="n">
        <x:v>107</x:v>
      </x:c>
      <x:c r="H37" s="7" t="str">
        <x:v>Mokuti / Onguma tourism transfer — Lodge/park staff, supplies and conservation equipment now; guest transport only through separately approved passenger capability.</x:v>
      </x:c>
    </x:row>
    <x:row r="38" ht="72" customHeight="1">
      <x:c r="A38" s="2" t="str">
        <x:v>Safari</x:v>
      </x:c>
      <x:c r="B38" s="2" t="str">
        <x:v>FYWD</x:v>
      </x:c>
      <x:c r="C38" s="7" t="str">
        <x:v>Wolwedans Airport</x:v>
      </x:c>
      <x:c r="D38" s="2" t="n">
        <x:v>88</x:v>
      </x:c>
      <x:c r="E38" s="2" t="n">
        <x:v>22</x:v>
      </x:c>
      <x:c r="F38" s="7" t="str">
        <x:v>Priority validation</x:v>
      </x:c>
      <x:c r="G38" s="2" t="n">
        <x:v>79</x:v>
      </x:c>
      <x:c r="H38" s="7" t="str">
        <x:v>Wolwedans lodges / NamibRand — Lodge/park staff, supplies and conservation equipment now; guest transport only through separately approved passenger capability.</x:v>
      </x:c>
    </x:row>
    <x:row r="39" ht="72" customHeight="1">
      <x:c r="A39" s="2" t="str">
        <x:v>Safari</x:v>
      </x:c>
      <x:c r="B39" s="2" t="str">
        <x:v>FYOO</x:v>
      </x:c>
      <x:c r="C39" s="7" t="str">
        <x:v>Okaukuejo Airport</x:v>
      </x:c>
      <x:c r="D39" s="2" t="n">
        <x:v>88</x:v>
      </x:c>
      <x:c r="E39" s="2" t="n">
        <x:v>17</x:v>
      </x:c>
      <x:c r="F39" s="7" t="str">
        <x:v>Priority validation</x:v>
      </x:c>
      <x:c r="G39" s="2" t="n">
        <x:v>103</x:v>
      </x:c>
      <x:c r="H39" s="7" t="str">
        <x:v>NWR Okaukuejo resort and park operations — Lodge/park staff, supplies and conservation equipment now; guest transport only through separately approved passenger capability.</x:v>
      </x:c>
    </x:row>
    <x:row r="40" ht="72" customHeight="1">
      <x:c r="A40" s="2" t="str">
        <x:v>Safari</x:v>
      </x:c>
      <x:c r="B40" s="2" t="str">
        <x:v>FYME</x:v>
      </x:c>
      <x:c r="C40" s="7" t="str">
        <x:v>Mount Etjo Airport</x:v>
      </x:c>
      <x:c r="D40" s="2" t="n">
        <x:v>88</x:v>
      </x:c>
      <x:c r="E40" s="2" t="n">
        <x:v>20</x:v>
      </x:c>
      <x:c r="F40" s="7" t="str">
        <x:v>Priority validation</x:v>
      </x:c>
      <x:c r="G40" s="2" t="n">
        <x:v>54</x:v>
      </x:c>
      <x:c r="H40" s="7" t="str">
        <x:v>Mount Etjo Safari Lodge — Lodge/park staff, supplies and conservation equipment now; guest transport only through separately approved passenger capability.</x:v>
      </x:c>
    </x:row>
    <x:row r="41" ht="72" customHeight="1">
      <x:c r="A41" s="2" t="str">
        <x:v>Safari</x:v>
      </x:c>
      <x:c r="B41" s="2" t="str">
        <x:v>FYDC</x:v>
      </x:c>
      <x:c r="C41" s="7" t="str">
        <x:v>Damaraland Wilderness Camp Airstrip</x:v>
      </x:c>
      <x:c r="D41" s="2" t="n">
        <x:v>88</x:v>
      </x:c>
      <x:c r="E41" s="2" t="n">
        <x:v>22</x:v>
      </x:c>
      <x:c r="F41" s="7" t="str">
        <x:v>Priority validation</x:v>
      </x:c>
      <x:c r="G41" s="2" t="n">
        <x:v>100</x:v>
      </x:c>
      <x:c r="H41" s="7" t="str">
        <x:v>Wilderness Damaraland Camp / Torra Conservancy — Lodge/park staff, supplies and conservation equipment now; guest transport only through separately approved passenger capability.</x:v>
      </x:c>
    </x:row>
    <x:row r="42" ht="72" customHeight="1">
      <x:c r="A42" s="2" t="str">
        <x:v>Safari</x:v>
      </x:c>
      <x:c r="B42" s="2" t="str">
        <x:v>NA-0168</x:v>
      </x:c>
      <x:c r="C42" s="7" t="str">
        <x:v>Palmwag Airport</x:v>
      </x:c>
      <x:c r="D42" s="2" t="n">
        <x:v>84</x:v>
      </x:c>
      <x:c r="E42" s="2" t="n">
        <x:v>22</x:v>
      </x:c>
      <x:c r="F42" s="7" t="str">
        <x:v>Priority validation</x:v>
      </x:c>
      <x:c r="G42" s="2" t="n">
        <x:v>113</x:v>
      </x:c>
      <x:c r="H42" s="7" t="str">
        <x:v>Palmwag Lodge and concession — Lodge/park staff, supplies and conservation equipment now; guest transport only through separately approved passenger capability.</x:v>
      </x:c>
    </x:row>
    <x:row r="43" ht="72" customHeight="1">
      <x:c r="A43" s="2" t="str">
        <x:v>Safari</x:v>
      </x:c>
      <x:c r="B43" s="2" t="str">
        <x:v>NA-0030</x:v>
      </x:c>
      <x:c r="C43" s="7" t="str">
        <x:v>Kerweder Airport</x:v>
      </x:c>
      <x:c r="D43" s="2" t="n">
        <x:v>83</x:v>
      </x:c>
      <x:c r="E43" s="2" t="n">
        <x:v>22</x:v>
      </x:c>
      <x:c r="F43" s="7" t="str">
        <x:v>Priority validation</x:v>
      </x:c>
      <x:c r="G43" s="2" t="n">
        <x:v>76</x:v>
      </x:c>
      <x:c r="H43" s="7" t="str">
        <x:v>Keerweder / Wolwedans transfer — Lodge/park staff, supplies and conservation equipment now; guest transport only through separately approved passenger capability.</x:v>
      </x:c>
    </x:row>
    <x:row r="44" ht="72" customHeight="1">
      <x:c r="A44" s="2" t="str">
        <x:v>Safari</x:v>
      </x:c>
      <x:c r="B44" s="2" t="str">
        <x:v>FYEA</x:v>
      </x:c>
      <x:c r="C44" s="7" t="str">
        <x:v>Etendeka Airstrip</x:v>
      </x:c>
      <x:c r="D44" s="2" t="n">
        <x:v>82</x:v>
      </x:c>
      <x:c r="E44" s="2" t="n">
        <x:v>23</x:v>
      </x:c>
      <x:c r="F44" s="7" t="str">
        <x:v>Priority validation</x:v>
      </x:c>
      <x:c r="G44" s="2" t="n">
        <x:v>114</x:v>
      </x:c>
      <x:c r="H44" s="7" t="str">
        <x:v>Etendeka Mountain Camp — Lodge/park staff, supplies and conservation equipment now; guest transport only through separately approved passenger capability.</x:v>
      </x:c>
    </x:row>
    <x:row r="45" ht="72" customHeight="1">
      <x:c r="A45" s="2" t="str">
        <x:v>Safari</x:v>
      </x:c>
      <x:c r="B45" s="2" t="str">
        <x:v>FYHI</x:v>
      </x:c>
      <x:c r="C45" s="7" t="str">
        <x:v>Halali Airport</x:v>
      </x:c>
      <x:c r="D45" s="2" t="n">
        <x:v>71</x:v>
      </x:c>
      <x:c r="E45" s="2" t="n">
        <x:v>17</x:v>
      </x:c>
      <x:c r="F45" s="7" t="str">
        <x:v>Priority validation</x:v>
      </x:c>
      <x:c r="G45" s="2" t="n">
        <x:v>103</x:v>
      </x:c>
      <x:c r="H45" s="7" t="str">
        <x:v>NWR Halali resort and park operations — Lodge/park staff, supplies and conservation equipment now; guest transport only through separately approved passenger capability.</x:v>
      </x:c>
    </x:row>
    <x:row r="46" ht="72" customHeight="1">
      <x:c r="A46" s="2" t="str">
        <x:v>Safari</x:v>
      </x:c>
      <x:c r="B46" s="2" t="str">
        <x:v>FYNA</x:v>
      </x:c>
      <x:c r="C46" s="7" t="str">
        <x:v>Namutoni Airport</x:v>
      </x:c>
      <x:c r="D46" s="2" t="n">
        <x:v>71</x:v>
      </x:c>
      <x:c r="E46" s="2" t="n">
        <x:v>17</x:v>
      </x:c>
      <x:c r="F46" s="7" t="str">
        <x:v>Priority validation</x:v>
      </x:c>
      <x:c r="G46" s="2" t="n">
        <x:v>108</x:v>
      </x:c>
      <x:c r="H46" s="7" t="str">
        <x:v>NWR Namutoni resort and eastern Etosha — Lodge/park staff, supplies and conservation equipment now; guest transport only through separately approved passenger capability.</x:v>
      </x:c>
    </x:row>
    <x:row r="47" ht="72" customHeight="1">
      <x:c r="A47" s="2" t="str">
        <x:v>Safari</x:v>
      </x:c>
      <x:c r="B47" s="2" t="str">
        <x:v>FYHH</x:v>
      </x:c>
      <x:c r="C47" s="7" t="str">
        <x:v>Helmeringhausen Airport</x:v>
      </x:c>
      <x:c r="D47" s="2" t="n">
        <x:v>69</x:v>
      </x:c>
      <x:c r="E47" s="2" t="n">
        <x:v>19</x:v>
      </x:c>
      <x:c r="F47" s="7" t="str">
        <x:v>Priority validation</x:v>
      </x:c>
      <x:c r="G47" s="2" t="n">
        <x:v>94</x:v>
      </x:c>
      <x:c r="H47" s="7" t="str">
        <x:v>Helmeringhausen Hotel private field — Lodge/park staff, supplies and conservation equipment now; guest transport only through separately approved passenger capability.</x:v>
      </x:c>
    </x:row>
    <x:row r="48" ht="72" customHeight="1">
      <x:c r="A48" s="2" t="str">
        <x:v>Safari</x:v>
      </x:c>
      <x:c r="B48" s="2" t="str">
        <x:v>FYMW</x:v>
      </x:c>
      <x:c r="C48" s="7" t="str">
        <x:v>Moewe Bay Airport</x:v>
      </x:c>
      <x:c r="D48" s="2" t="n">
        <x:v>67</x:v>
      </x:c>
      <x:c r="E48" s="2" t="n">
        <x:v>22</x:v>
      </x:c>
      <x:c r="F48" s="7" t="str">
        <x:v>Priority validation</x:v>
      </x:c>
      <x:c r="G48" s="2" t="n">
        <x:v>143</x:v>
      </x:c>
      <x:c r="H48" s="7" t="str">
        <x:v>Möwe Bay Skeleton Coast excursion — Lodge/park staff, supplies and conservation equipment now; guest transport only through separately approved passenger capability.</x:v>
      </x:c>
    </x:row>
    <x:row r="49" ht="72" customHeight="1">
      <x:c r="A49" s="2" t="str">
        <x:v>Safari</x:v>
      </x:c>
      <x:c r="B49" s="2" t="str">
        <x:v>FYTK</x:v>
      </x:c>
      <x:c r="C49" s="7" t="str">
        <x:v>Tsumkwe Airport</x:v>
      </x:c>
      <x:c r="D49" s="2" t="n">
        <x:v>67</x:v>
      </x:c>
      <x:c r="E49" s="2" t="n">
        <x:v>20</x:v>
      </x:c>
      <x:c r="F49" s="7" t="str">
        <x:v>Extended network</x:v>
      </x:c>
      <x:c r="G49" s="2" t="n">
        <x:v>122</x:v>
      </x:c>
      <x:c r="H49" s="7" t="str">
        <x:v>Tsumkwe / Nyae Nyae community and conservancy — Conservancy liaison/equipment and community-led tourism support distinct from community supplies.</x:v>
      </x:c>
    </x:row>
    <x:row r="50" ht="72" customHeight="1">
      <x:c r="A50" s="2"/>
      <x:c r="B50" s="2"/>
      <x:c r="C50" s="7"/>
      <x:c r="D50" s="2"/>
      <x:c r="E50" s="2"/>
      <x:c r="F50" s="7"/>
      <x:c r="G50" s="2"/>
      <x:c r="H50" s="7"/>
    </x:row>
    <x:row r="51" ht="72" customHeight="1">
      <x:c r="A51" s="2"/>
      <x:c r="B51" s="2"/>
      <x:c r="C51" s="7"/>
      <x:c r="D51" s="2"/>
      <x:c r="E51" s="2"/>
      <x:c r="F51" s="7"/>
      <x:c r="G51" s="2"/>
      <x:c r="H51" s="7"/>
    </x:row>
    <x:row r="52" ht="72" customHeight="1">
      <x:c r="A52" s="2"/>
      <x:c r="B52" s="2"/>
      <x:c r="C52" s="7"/>
      <x:c r="D52" s="2"/>
      <x:c r="E52" s="2"/>
      <x:c r="F52" s="7"/>
      <x:c r="G52" s="2"/>
      <x:c r="H52" s="7"/>
    </x:row>
    <x:row r="53" ht="72" customHeight="1">
      <x:c r="A53" s="2"/>
      <x:c r="B53" s="2"/>
      <x:c r="C53" s="7"/>
      <x:c r="D53" s="2"/>
      <x:c r="E53" s="2"/>
      <x:c r="F53" s="7"/>
      <x:c r="G53" s="2"/>
      <x:c r="H53" s="7"/>
    </x:row>
    <x:row r="54" ht="72" customHeight="1">
      <x:c r="A54" s="2"/>
      <x:c r="B54" s="2"/>
      <x:c r="C54" s="7"/>
      <x:c r="D54" s="2"/>
      <x:c r="E54" s="2"/>
      <x:c r="F54" s="7"/>
      <x:c r="G54" s="2"/>
      <x:c r="H54" s="7"/>
    </x:row>
    <x:row r="55" ht="72" customHeight="1">
      <x:c r="A55" s="2"/>
      <x:c r="B55" s="2"/>
      <x:c r="C55" s="7"/>
      <x:c r="D55" s="2"/>
      <x:c r="E55" s="2"/>
      <x:c r="F55" s="7"/>
      <x:c r="G55" s="2"/>
      <x:c r="H55" s="7"/>
    </x:row>
    <x:row r="56" ht="72" customHeight="1">
      <x:c r="A56" s="2"/>
      <x:c r="B56" s="2"/>
      <x:c r="C56" s="7"/>
      <x:c r="D56" s="2"/>
      <x:c r="E56" s="2"/>
      <x:c r="F56" s="7"/>
      <x:c r="G56" s="2"/>
      <x:c r="H56" s="7"/>
    </x:row>
    <x:row r="57" ht="72" customHeight="1">
      <x:c r="A57" s="2"/>
      <x:c r="B57" s="2"/>
      <x:c r="C57" s="7"/>
      <x:c r="D57" s="2"/>
      <x:c r="E57" s="2"/>
      <x:c r="F57" s="7"/>
      <x:c r="G57" s="2"/>
      <x:c r="H57" s="7"/>
    </x:row>
    <x:row r="58" ht="30" customHeight="1">
      <x:c r="A58" s="2"/>
      <x:c r="B58" s="2"/>
      <x:c r="C58" s="2"/>
      <x:c r="D58" s="2"/>
      <x:c r="E58" s="2"/>
      <x:c r="F58" s="2"/>
      <x:c r="G58" s="2"/>
      <x:c r="H58" s="2"/>
    </x:row>
    <x:row r="59" ht="42" customHeight="1">
      <x:c r="A59" s="10" t="str">
        <x:v>Career</x:v>
      </x:c>
      <x:c r="B59" s="10" t="str">
        <x:v>Key</x:v>
      </x:c>
      <x:c r="C59" s="10" t="str">
        <x:v>Destination</x:v>
      </x:c>
      <x:c r="D59" s="10" t="str">
        <x:v>Suitability /100</x:v>
      </x:c>
      <x:c r="E59" s="10" t="str">
        <x:v>Flying /25</x:v>
      </x:c>
      <x:c r="F59" s="10" t="str">
        <x:v>Recommendation</x:v>
      </x:c>
      <x:c r="G59" s="10" t="str">
        <x:v>Airborne min</x:v>
      </x:c>
      <x:c r="H59" s="10" t="str">
        <x:v>Operational reason</x:v>
      </x:c>
    </x:row>
    <x:row r="60" ht="72" customHeight="1">
      <x:c r="A60" s="2" t="str" cm="1">
        <x:f t="array" ref="A60:H66">_xlfn._xlws.SORT(_xlfn._xlws.FILTER(Scoring!X6:AE73,(Scoring!A6:A73="Industrial")*(Scoring!V6:V73=1)),4,-1)</x:f>
        <x:v>Industrial</x:v>
      </x:c>
      <x:c r="B60" s="2" t="str">
        <x:v>FYWB</x:v>
      </x:c>
      <x:c r="C60" s="7" t="str">
        <x:v>Walvis Bay International Airport</x:v>
      </x:c>
      <x:c r="D60" s="2" t="n">
        <x:v>100</x:v>
      </x:c>
      <x:c r="E60" s="2" t="n">
        <x:v>16</x:v>
      </x:c>
      <x:c r="F60" s="7" t="str">
        <x:v>Priority validation</x:v>
      </x:c>
      <x:c r="G60" s="2" t="n">
        <x:v>69</x:v>
      </x:c>
      <x:c r="H60" s="7" t="str">
        <x:v>Walvis Bay port, repair and logistics industries — Urgent parts, tools, samples and specialists; aircraft-scale consignments only.</x:v>
      </x:c>
    </x:row>
    <x:row r="61" ht="72" customHeight="1">
      <x:c r="A61" s="2" t="str">
        <x:v>Industrial</x:v>
      </x:c>
      <x:c r="B61" s="2" t="str">
        <x:v>FYAR</x:v>
      </x:c>
      <x:c r="C61" s="7" t="str">
        <x:v>Arandis Airport</x:v>
      </x:c>
      <x:c r="D61" s="2" t="n">
        <x:v>96</x:v>
      </x:c>
      <x:c r="E61" s="2" t="n">
        <x:v>16</x:v>
      </x:c>
      <x:c r="F61" s="7" t="str">
        <x:v>Priority validation</x:v>
      </x:c>
      <x:c r="G61" s="2" t="n">
        <x:v>60</x:v>
      </x:c>
      <x:c r="H61" s="7" t="str">
        <x:v>Arandis / Rössing uranium mine — Urgent parts, tools, samples and specialists; aircraft-scale consignments only.</x:v>
      </x:c>
    </x:row>
    <x:row r="62" ht="72" customHeight="1">
      <x:c r="A62" s="2" t="str">
        <x:v>Industrial</x:v>
      </x:c>
      <x:c r="B62" s="2" t="str">
        <x:v>FYLZ</x:v>
      </x:c>
      <x:c r="C62" s="7" t="str">
        <x:v>Luderitz Airport</x:v>
      </x:c>
      <x:c r="D62" s="2" t="n">
        <x:v>92</x:v>
      </x:c>
      <x:c r="E62" s="2" t="n">
        <x:v>20</x:v>
      </x:c>
      <x:c r="F62" s="7" t="str">
        <x:v>Priority validation</x:v>
      </x:c>
      <x:c r="G62" s="2" t="n">
        <x:v>123</x:v>
      </x:c>
      <x:c r="H62" s="7" t="str">
        <x:v>Lüderitz fishing, mining exports and offshore support port — Urgent parts, tools, samples and specialists; aircraft-scale consignments only.</x:v>
      </x:c>
    </x:row>
    <x:row r="63" ht="72" customHeight="1">
      <x:c r="A63" s="2" t="str">
        <x:v>Industrial</x:v>
      </x:c>
      <x:c r="B63" s="2" t="str">
        <x:v>FYUS</x:v>
      </x:c>
      <x:c r="C63" s="7" t="str">
        <x:v>Uis Mine Airport</x:v>
      </x:c>
      <x:c r="D63" s="2" t="n">
        <x:v>84</x:v>
      </x:c>
      <x:c r="E63" s="2" t="n">
        <x:v>21</x:v>
      </x:c>
      <x:c r="F63" s="7" t="str">
        <x:v>Priority validation</x:v>
      </x:c>
      <x:c r="G63" s="2" t="n">
        <x:v>74</x:v>
      </x:c>
      <x:c r="H63" s="7" t="str">
        <x:v>Uis tin mine / Andrada — Urgent parts, tools, samples and specialists; aircraft-scale consignments only.</x:v>
      </x:c>
    </x:row>
    <x:row r="64" ht="72" customHeight="1">
      <x:c r="A64" s="2" t="str">
        <x:v>Industrial</x:v>
      </x:c>
      <x:c r="B64" s="2" t="str">
        <x:v>FYBM</x:v>
      </x:c>
      <x:c r="C64" s="7" t="str">
        <x:v>B2Gold Otjikoto Mine Airport</x:v>
      </x:c>
      <x:c r="D64" s="2" t="n">
        <x:v>84</x:v>
      </x:c>
      <x:c r="E64" s="2" t="n">
        <x:v>17</x:v>
      </x:c>
      <x:c r="F64" s="7" t="str">
        <x:v>Priority validation</x:v>
      </x:c>
      <x:c r="G64" s="2" t="n">
        <x:v>77</x:v>
      </x:c>
      <x:c r="H64" s="7" t="str">
        <x:v>Otjikoto gold mine / Wolfshag underground operation — Urgent parts, tools, samples and specialists; aircraft-scale consignments only.</x:v>
      </x:c>
    </x:row>
    <x:row r="65" ht="72" customHeight="1">
      <x:c r="A65" s="2" t="str">
        <x:v>Industrial</x:v>
      </x:c>
      <x:c r="B65" s="2" t="str">
        <x:v>FYOG</x:v>
      </x:c>
      <x:c r="C65" s="7" t="str">
        <x:v>Oranjemund Airport</x:v>
      </x:c>
      <x:c r="D65" s="2" t="n">
        <x:v>84</x:v>
      </x:c>
      <x:c r="E65" s="2" t="n">
        <x:v>19</x:v>
      </x:c>
      <x:c r="F65" s="7" t="str">
        <x:v>Priority validation</x:v>
      </x:c>
      <x:c r="G65" s="2" t="n">
        <x:v>164</x:v>
      </x:c>
      <x:c r="H65" s="7" t="str">
        <x:v>Oranjemund diamond industry and marine logistics — Urgent parts, tools, samples and specialists; aircraft-scale consignments only.</x:v>
      </x:c>
    </x:row>
    <x:row r="66" ht="72" customHeight="1">
      <x:c r="A66" s="2" t="str">
        <x:v>Industrial</x:v>
      </x:c>
      <x:c r="B66" s="2" t="str">
        <x:v>FYSM</x:v>
      </x:c>
      <x:c r="C66" s="7" t="str">
        <x:v>Swakopmund Municipal Aerodrome</x:v>
      </x:c>
      <x:c r="D66" s="2" t="n">
        <x:v>76</x:v>
      </x:c>
      <x:c r="E66" s="2" t="n">
        <x:v>17</x:v>
      </x:c>
      <x:c r="F66" s="7" t="str">
        <x:v>Priority validation</x:v>
      </x:c>
      <x:c r="G66" s="2" t="n">
        <x:v>70</x:v>
      </x:c>
      <x:c r="H66" s="7" t="str">
        <x:v>Swakopmund uranium-service hub / Langer Heinrich road transfer — Urgent parts, tools, samples and specialists; aircraft-scale consignments only.</x:v>
      </x:c>
    </x:row>
    <x:row r="67" ht="72" customHeight="1">
      <x:c r="A67" s="2"/>
      <x:c r="B67" s="2"/>
      <x:c r="C67" s="7"/>
      <x:c r="D67" s="2"/>
      <x:c r="E67" s="2"/>
      <x:c r="F67" s="7"/>
      <x:c r="G67" s="2"/>
      <x:c r="H67" s="7"/>
    </x:row>
    <x:row r="68" ht="72" customHeight="1">
      <x:c r="A68" s="2"/>
      <x:c r="B68" s="2"/>
      <x:c r="C68" s="7"/>
      <x:c r="D68" s="2"/>
      <x:c r="E68" s="2"/>
      <x:c r="F68" s="7"/>
      <x:c r="G68" s="2"/>
      <x:c r="H68" s="7"/>
    </x:row>
    <x:row r="69" ht="72" customHeight="1">
      <x:c r="A69" s="2"/>
      <x:c r="B69" s="2"/>
      <x:c r="C69" s="7"/>
      <x:c r="D69" s="2"/>
      <x:c r="E69" s="2"/>
      <x:c r="F69" s="7"/>
      <x:c r="G69" s="2"/>
      <x:c r="H69" s="7"/>
    </x:row>
    <x:row r="70" ht="72" customHeight="1">
      <x:c r="A70" s="2"/>
      <x:c r="B70" s="2"/>
      <x:c r="C70" s="7"/>
      <x:c r="D70" s="2"/>
      <x:c r="E70" s="2"/>
      <x:c r="F70" s="7"/>
      <x:c r="G70" s="2"/>
      <x:c r="H70" s="7"/>
    </x:row>
    <x:row r="71" ht="72" customHeight="1">
      <x:c r="A71" s="2"/>
      <x:c r="B71" s="2"/>
      <x:c r="C71" s="7"/>
      <x:c r="D71" s="2"/>
      <x:c r="E71" s="2"/>
      <x:c r="F71" s="7"/>
      <x:c r="G71" s="2"/>
      <x:c r="H71" s="7"/>
    </x:row>
    <x:row r="72" ht="72" customHeight="1">
      <x:c r="A72" s="2"/>
      <x:c r="B72" s="2"/>
      <x:c r="C72" s="7"/>
      <x:c r="D72" s="2"/>
      <x:c r="E72" s="2"/>
      <x:c r="F72" s="7"/>
      <x:c r="G72" s="2"/>
      <x:c r="H72" s="7"/>
    </x:row>
    <x:row r="73" ht="72" customHeight="1">
      <x:c r="A73" s="2"/>
      <x:c r="B73" s="2"/>
      <x:c r="C73" s="7"/>
      <x:c r="D73" s="2"/>
      <x:c r="E73" s="2"/>
      <x:c r="F73" s="7"/>
      <x:c r="G73" s="2"/>
      <x:c r="H73" s="7"/>
    </x:row>
    <x:row r="74" ht="72" customHeight="1">
      <x:c r="A74" s="2"/>
      <x:c r="B74" s="2"/>
      <x:c r="C74" s="7"/>
      <x:c r="D74" s="2"/>
      <x:c r="E74" s="2"/>
      <x:c r="F74" s="7"/>
      <x:c r="G74" s="2"/>
      <x:c r="H74" s="7"/>
    </x:row>
    <x:row r="75" ht="72" customHeight="1">
      <x:c r="A75" s="2"/>
      <x:c r="B75" s="2"/>
      <x:c r="C75" s="7"/>
      <x:c r="D75" s="2"/>
      <x:c r="E75" s="2"/>
      <x:c r="F75" s="7"/>
      <x:c r="G75" s="2"/>
      <x:c r="H75" s="7"/>
    </x:row>
    <x:row r="76" ht="72" customHeight="1">
      <x:c r="A76" s="2"/>
      <x:c r="B76" s="2"/>
      <x:c r="C76" s="7"/>
      <x:c r="D76" s="2"/>
      <x:c r="E76" s="2"/>
      <x:c r="F76" s="7"/>
      <x:c r="G76" s="2"/>
      <x:c r="H76" s="7"/>
    </x:row>
    <x:row r="77" ht="72" customHeight="1">
      <x:c r="A77" s="2"/>
      <x:c r="B77" s="2"/>
      <x:c r="C77" s="7"/>
      <x:c r="D77" s="2"/>
      <x:c r="E77" s="2"/>
      <x:c r="F77" s="7"/>
      <x:c r="G77" s="2"/>
      <x:c r="H77" s="7"/>
    </x:row>
    <x:row r="78" ht="72" customHeight="1">
      <x:c r="A78" s="2"/>
      <x:c r="B78" s="2"/>
      <x:c r="C78" s="7"/>
      <x:c r="D78" s="2"/>
      <x:c r="E78" s="2"/>
      <x:c r="F78" s="7"/>
      <x:c r="G78" s="2"/>
      <x:c r="H78" s="7"/>
    </x:row>
    <x:row r="79" ht="72" customHeight="1">
      <x:c r="A79" s="2"/>
      <x:c r="B79" s="2"/>
      <x:c r="C79" s="7"/>
      <x:c r="D79" s="2"/>
      <x:c r="E79" s="2"/>
      <x:c r="F79" s="7"/>
      <x:c r="G79" s="2"/>
      <x:c r="H79" s="7"/>
    </x:row>
    <x:row r="80" ht="72" customHeight="1">
      <x:c r="A80" s="2"/>
      <x:c r="B80" s="2"/>
      <x:c r="C80" s="7"/>
      <x:c r="D80" s="2"/>
      <x:c r="E80" s="2"/>
      <x:c r="F80" s="7"/>
      <x:c r="G80" s="2"/>
      <x:c r="H80" s="7"/>
    </x:row>
    <x:row r="81" ht="72" customHeight="1">
      <x:c r="A81" s="2"/>
      <x:c r="B81" s="2"/>
      <x:c r="C81" s="7"/>
      <x:c r="D81" s="2"/>
      <x:c r="E81" s="2"/>
      <x:c r="F81" s="7"/>
      <x:c r="G81" s="2"/>
      <x:c r="H81" s="7"/>
    </x:row>
    <x:row r="82" ht="72" customHeight="1">
      <x:c r="A82" s="2"/>
      <x:c r="B82" s="2"/>
      <x:c r="C82" s="7"/>
      <x:c r="D82" s="2"/>
      <x:c r="E82" s="2"/>
      <x:c r="F82" s="7"/>
      <x:c r="G82" s="2"/>
      <x:c r="H82" s="7"/>
    </x:row>
    <x:row r="83" ht="72" customHeight="1">
      <x:c r="A83" s="2"/>
      <x:c r="B83" s="2"/>
      <x:c r="C83" s="7"/>
      <x:c r="D83" s="2"/>
      <x:c r="E83" s="2"/>
      <x:c r="F83" s="7"/>
      <x:c r="G83" s="2"/>
      <x:c r="H83" s="7"/>
    </x:row>
    <x:row r="84" ht="72" customHeight="1">
      <x:c r="A84" s="2"/>
      <x:c r="B84" s="2"/>
      <x:c r="C84" s="7"/>
      <x:c r="D84" s="2"/>
      <x:c r="E84" s="2"/>
      <x:c r="F84" s="7"/>
      <x:c r="G84" s="2"/>
      <x:c r="H84" s="7"/>
    </x:row>
    <x:row r="85" ht="30" customHeight="1">
      <x:c r="A85" s="2"/>
      <x:c r="B85" s="2"/>
      <x:c r="C85" s="2"/>
      <x:c r="D85" s="2"/>
      <x:c r="E85" s="2"/>
      <x:c r="F85" s="2"/>
      <x:c r="G85" s="2"/>
      <x:c r="H85" s="2"/>
    </x:row>
    <x:row r="86" ht="42" customHeight="1">
      <x:c r="A86" s="10" t="str">
        <x:v>Career</x:v>
      </x:c>
      <x:c r="B86" s="10" t="str">
        <x:v>Key</x:v>
      </x:c>
      <x:c r="C86" s="10" t="str">
        <x:v>Destination</x:v>
      </x:c>
      <x:c r="D86" s="10" t="str">
        <x:v>Suitability /100</x:v>
      </x:c>
      <x:c r="E86" s="10" t="str">
        <x:v>Flying /25</x:v>
      </x:c>
      <x:c r="F86" s="10" t="str">
        <x:v>Recommendation</x:v>
      </x:c>
      <x:c r="G86" s="10" t="str">
        <x:v>Airborne min</x:v>
      </x:c>
      <x:c r="H86" s="10" t="str">
        <x:v>Operational reason</x:v>
      </x:c>
    </x:row>
    <x:row r="87" ht="72" customHeight="1">
      <x:c r="A87" s="2" t="str" cm="1">
        <x:f t="array" ref="A87:H91">_xlfn._xlws.SORT(_xlfn._xlws.FILTER(Scoring!X6:AE73,(Scoring!A6:A73="Offshore")*(Scoring!V6:V73=1)),4,-1)</x:f>
        <x:v>Offshore</x:v>
      </x:c>
      <x:c r="B87" s="2" t="str">
        <x:v>FYWH</x:v>
      </x:c>
      <x:c r="C87" s="7" t="str">
        <x:v>Hosea Kutako International Airport</x:v>
      </x:c>
      <x:c r="D87" s="2" t="n">
        <x:v>100</x:v>
      </x:c>
      <x:c r="E87" s="2" t="n">
        <x:v>13</x:v>
      </x:c>
      <x:c r="F87" s="7" t="str">
        <x:v>Priority validation</x:v>
      </x:c>
      <x:c r="G87" s="2" t="n">
        <x:v>63</x:v>
      </x:c>
      <x:c r="H87" s="7" t="str">
        <x:v>Windhoek international business gateway — Marine-industry specialist/equipment or executive airport transfer; proposed adaptation of existing airport mission types.</x:v>
      </x:c>
    </x:row>
    <x:row r="88" ht="72" customHeight="1">
      <x:c r="A88" s="2" t="str">
        <x:v>Offshore</x:v>
      </x:c>
      <x:c r="B88" s="2" t="str">
        <x:v>FYLZ</x:v>
      </x:c>
      <x:c r="C88" s="7" t="str">
        <x:v>Luderitz Airport</x:v>
      </x:c>
      <x:c r="D88" s="2" t="n">
        <x:v>96</x:v>
      </x:c>
      <x:c r="E88" s="2" t="n">
        <x:v>20</x:v>
      </x:c>
      <x:c r="F88" s="7" t="str">
        <x:v>Priority validation</x:v>
      </x:c>
      <x:c r="G88" s="2" t="n">
        <x:v>83</x:v>
      </x:c>
      <x:c r="H88" s="7" t="str">
        <x:v>Lüderitz fishing, mining exports and offshore support port — Marine-industry specialist/equipment or executive airport transfer; proposed adaptation of existing airport mission types.</x:v>
      </x:c>
    </x:row>
    <x:row r="89" ht="72" customHeight="1">
      <x:c r="A89" s="2" t="str">
        <x:v>Offshore</x:v>
      </x:c>
      <x:c r="B89" s="2" t="str">
        <x:v>FYWE</x:v>
      </x:c>
      <x:c r="C89" s="7" t="str">
        <x:v>Eros Airport</x:v>
      </x:c>
      <x:c r="D89" s="2" t="n">
        <x:v>96</x:v>
      </x:c>
      <x:c r="E89" s="2" t="n">
        <x:v>15</x:v>
      </x:c>
      <x:c r="F89" s="7" t="str">
        <x:v>Priority validation</x:v>
      </x:c>
      <x:c r="G89" s="2" t="n">
        <x:v>56</x:v>
      </x:c>
      <x:c r="H89" s="7" t="str">
        <x:v>Windhoek corporate offices / NAMCOR — Marine-industry specialist/equipment or executive airport transfer; proposed adaptation of existing airport mission types.</x:v>
      </x:c>
    </x:row>
    <x:row r="90" ht="72" customHeight="1">
      <x:c r="A90" s="2" t="str">
        <x:v>Offshore</x:v>
      </x:c>
      <x:c r="B90" s="2" t="str">
        <x:v>FYOG</x:v>
      </x:c>
      <x:c r="C90" s="7" t="str">
        <x:v>Oranjemund Airport</x:v>
      </x:c>
      <x:c r="D90" s="2" t="n">
        <x:v>88</x:v>
      </x:c>
      <x:c r="E90" s="2" t="n">
        <x:v>19</x:v>
      </x:c>
      <x:c r="F90" s="7" t="str">
        <x:v>Priority validation</x:v>
      </x:c>
      <x:c r="G90" s="2" t="n">
        <x:v>121</x:v>
      </x:c>
      <x:c r="H90" s="7" t="str">
        <x:v>Oranjemund diamond industry and marine logistics — Marine-industry specialist/equipment or executive airport transfer; proposed adaptation of existing airport mission types.</x:v>
      </x:c>
    </x:row>
    <x:row r="91" ht="72" customHeight="1">
      <x:c r="A91" s="2" t="str">
        <x:v>Offshore</x:v>
      </x:c>
      <x:c r="B91" s="2" t="str">
        <x:v>FACT</x:v>
      </x:c>
      <x:c r="C91" s="7" t="str">
        <x:v>Cape Town International Airport</x:v>
      </x:c>
      <x:c r="D91" s="2" t="n">
        <x:v>88</x:v>
      </x:c>
      <x:c r="E91" s="2" t="n">
        <x:v>17</x:v>
      </x:c>
      <x:c r="F91" s="7" t="str">
        <x:v>Extended network</x:v>
      </x:c>
      <x:c r="G91" s="2" t="n">
        <x:v>223</x:v>
      </x:c>
      <x:c r="H91" s="7" t="str">
        <x:v>Cape Town marine logistics / technical support — Marine-industry specialist/equipment or executive airport transfer; proposed adaptation of existing airport mission types.</x:v>
      </x:c>
    </x:row>
    <x:row r="92" ht="72" customHeight="1">
      <x:c r="A92" s="2"/>
      <x:c r="B92" s="2"/>
      <x:c r="C92" s="7"/>
      <x:c r="D92" s="2"/>
      <x:c r="E92" s="2"/>
      <x:c r="F92" s="7"/>
      <x:c r="G92" s="2"/>
      <x:c r="H92" s="7"/>
    </x:row>
    <x:row r="93" ht="72" customHeight="1">
      <x:c r="A93" s="2"/>
      <x:c r="B93" s="2"/>
      <x:c r="C93" s="7"/>
      <x:c r="D93" s="2"/>
      <x:c r="E93" s="2"/>
      <x:c r="F93" s="7"/>
      <x:c r="G93" s="2"/>
      <x:c r="H93" s="7"/>
    </x:row>
    <x:row r="94" ht="72" customHeight="1">
      <x:c r="A94" s="2"/>
      <x:c r="B94" s="2"/>
      <x:c r="C94" s="7"/>
      <x:c r="D94" s="2"/>
      <x:c r="E94" s="2"/>
      <x:c r="F94" s="7"/>
      <x:c r="G94" s="2"/>
      <x:c r="H94" s="7"/>
    </x:row>
    <x:row r="95" ht="72" customHeight="1">
      <x:c r="A95" s="2"/>
      <x:c r="B95" s="2"/>
      <x:c r="C95" s="7"/>
      <x:c r="D95" s="2"/>
      <x:c r="E95" s="2"/>
      <x:c r="F95" s="7"/>
      <x:c r="G95" s="2"/>
      <x:c r="H95" s="7"/>
    </x:row>
    <x:row r="96" ht="72" customHeight="1">
      <x:c r="A96" s="2"/>
      <x:c r="B96" s="2"/>
      <x:c r="C96" s="7"/>
      <x:c r="D96" s="2"/>
      <x:c r="E96" s="2"/>
      <x:c r="F96" s="7"/>
      <x:c r="G96" s="2"/>
      <x:c r="H96" s="7"/>
    </x:row>
    <x:row r="97" ht="72" customHeight="1">
      <x:c r="A97" s="2"/>
      <x:c r="B97" s="2"/>
      <x:c r="C97" s="7"/>
      <x:c r="D97" s="2"/>
      <x:c r="E97" s="2"/>
      <x:c r="F97" s="7"/>
      <x:c r="G97" s="2"/>
      <x:c r="H97" s="7"/>
    </x:row>
    <x:row r="98" ht="72" customHeight="1">
      <x:c r="A98" s="2"/>
      <x:c r="B98" s="2"/>
      <x:c r="C98" s="7"/>
      <x:c r="D98" s="2"/>
      <x:c r="E98" s="2"/>
      <x:c r="F98" s="7"/>
      <x:c r="G98" s="2"/>
      <x:c r="H98" s="7"/>
    </x:row>
    <x:row r="99" ht="72" customHeight="1">
      <x:c r="A99" s="2"/>
      <x:c r="B99" s="2"/>
      <x:c r="C99" s="7"/>
      <x:c r="D99" s="2"/>
      <x:c r="E99" s="2"/>
      <x:c r="F99" s="7"/>
      <x:c r="G99" s="2"/>
      <x:c r="H99" s="7"/>
    </x:row>
    <x:row r="100" ht="72" customHeight="1">
      <x:c r="A100" s="2"/>
      <x:c r="B100" s="2"/>
      <x:c r="C100" s="7"/>
      <x:c r="D100" s="2"/>
      <x:c r="E100" s="2"/>
      <x:c r="F100" s="7"/>
      <x:c r="G100" s="2"/>
      <x:c r="H100" s="7"/>
    </x:row>
    <x:row r="101" ht="72" customHeight="1">
      <x:c r="A101" s="2"/>
      <x:c r="B101" s="2"/>
      <x:c r="C101" s="7"/>
      <x:c r="D101" s="2"/>
      <x:c r="E101" s="2"/>
      <x:c r="F101" s="7"/>
      <x:c r="G101" s="2"/>
      <x:c r="H101" s="7"/>
    </x:row>
    <x:row r="102" ht="72" customHeight="1">
      <x:c r="A102" s="2"/>
      <x:c r="B102" s="2"/>
      <x:c r="C102" s="7"/>
      <x:c r="D102" s="2"/>
      <x:c r="E102" s="2"/>
      <x:c r="F102" s="7"/>
      <x:c r="G102" s="2"/>
      <x:c r="H102" s="7"/>
    </x:row>
    <x:row r="103" ht="72" customHeight="1">
      <x:c r="A103" s="2"/>
      <x:c r="B103" s="2"/>
      <x:c r="C103" s="7"/>
      <x:c r="D103" s="2"/>
      <x:c r="E103" s="2"/>
      <x:c r="F103" s="7"/>
      <x:c r="G103" s="2"/>
      <x:c r="H103" s="7"/>
    </x:row>
    <x:row r="104" ht="72" customHeight="1">
      <x:c r="A104" s="2"/>
      <x:c r="B104" s="2"/>
      <x:c r="C104" s="7"/>
      <x:c r="D104" s="2"/>
      <x:c r="E104" s="2"/>
      <x:c r="F104" s="7"/>
      <x:c r="G104" s="2"/>
      <x:c r="H104" s="7"/>
    </x:row>
    <x:row r="105" ht="72" customHeight="1">
      <x:c r="A105" s="2"/>
      <x:c r="B105" s="2"/>
      <x:c r="C105" s="7"/>
      <x:c r="D105" s="2"/>
      <x:c r="E105" s="2"/>
      <x:c r="F105" s="7"/>
      <x:c r="G105" s="2"/>
      <x:c r="H105" s="7"/>
    </x:row>
    <x:row r="106" ht="72" customHeight="1">
      <x:c r="A106" s="2"/>
      <x:c r="B106" s="2"/>
      <x:c r="C106" s="7"/>
      <x:c r="D106" s="2"/>
      <x:c r="E106" s="2"/>
      <x:c r="F106" s="7"/>
      <x:c r="G106" s="2"/>
      <x:c r="H106" s="7"/>
    </x:row>
    <x:row r="107" ht="72" customHeight="1">
      <x:c r="A107" s="2"/>
      <x:c r="B107" s="2"/>
      <x:c r="C107" s="7"/>
      <x:c r="D107" s="2"/>
      <x:c r="E107" s="2"/>
      <x:c r="F107" s="7"/>
      <x:c r="G107" s="2"/>
      <x:c r="H107" s="7"/>
    </x:row>
    <x:row r="108" ht="72" customHeight="1">
      <x:c r="A108" s="2"/>
      <x:c r="B108" s="2"/>
      <x:c r="C108" s="7"/>
      <x:c r="D108" s="2"/>
      <x:c r="E108" s="2"/>
      <x:c r="F108" s="7"/>
      <x:c r="G108" s="2"/>
      <x:c r="H108" s="7"/>
    </x:row>
    <x:row r="109" ht="72" customHeight="1">
      <x:c r="A109" s="2"/>
      <x:c r="B109" s="2"/>
      <x:c r="C109" s="7"/>
      <x:c r="D109" s="2"/>
      <x:c r="E109" s="2"/>
      <x:c r="F109" s="7"/>
      <x:c r="G109" s="2"/>
      <x:c r="H109" s="7"/>
    </x:row>
    <x:row r="110" ht="72" customHeight="1">
      <x:c r="A110" s="2"/>
      <x:c r="B110" s="2"/>
      <x:c r="C110" s="7"/>
      <x:c r="D110" s="2"/>
      <x:c r="E110" s="2"/>
      <x:c r="F110" s="7"/>
      <x:c r="G110" s="2"/>
      <x:c r="H110" s="7"/>
    </x:row>
    <x:row r="111" ht="72" customHeight="1">
      <x:c r="A111" s="2"/>
      <x:c r="B111" s="2"/>
      <x:c r="C111" s="7"/>
      <x:c r="D111" s="2"/>
      <x:c r="E111" s="2"/>
      <x:c r="F111" s="7"/>
      <x:c r="G111" s="2"/>
      <x:c r="H111" s="7"/>
    </x:row>
    <x:row r="112" ht="30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30" customHeight="1">
      <x:c r="A113" s="2"/>
      <x:c r="B113" s="2"/>
      <x:c r="C113" s="2"/>
      <x:c r="D113" s="2"/>
      <x:c r="E113" s="2"/>
      <x:c r="F113" s="2"/>
      <x:c r="G113" s="2"/>
      <x:c r="H113" s="2"/>
    </x:row>
  </x:sheetData>
  <x:mergeCells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4E5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37" hidden="0" customWidth="1"/>
    <x:col min="3" max="3" width="25" hidden="0" customWidth="1"/>
    <x:col min="4" max="4" width="19" hidden="0" customWidth="1"/>
    <x:col min="5" max="5" width="39" hidden="0" customWidth="1"/>
    <x:col min="6" max="6" width="55" hidden="0" customWidth="1"/>
    <x:col min="7" max="7" width="18" hidden="0" customWidth="1"/>
    <x:col min="8" max="8" width="18" hidden="0" customWidth="1"/>
    <x:col min="9" max="9" width="15" hidden="0" customWidth="1"/>
    <x:col min="10" max="10" width="18" hidden="0" customWidth="1"/>
    <x:col min="11" max="11" width="18" hidden="0" customWidth="1"/>
    <x:col min="12" max="12" width="23" hidden="0" customWidth="1"/>
    <x:col min="13" max="13" width="20" hidden="0" customWidth="1"/>
    <x:col min="14" max="14" width="62" hidden="0" customWidth="1"/>
    <x:col min="15" max="15" width="53" hidden="0" customWidth="1"/>
    <x:col min="16" max="16" width="64" hidden="0" customWidth="1"/>
    <x:col min="17" max="17" width="58" hidden="0" customWidth="1"/>
    <x:col min="18" max="18" width="65" hidden="0" customWidth="1"/>
    <x:col min="19" max="19" width="18" hidden="0" customWidth="1"/>
    <x:col min="20" max="20" width="20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0" hidden="0" customWidth="1"/>
    <x:col min="28" max="28" width="21" hidden="0" customWidth="1"/>
    <x:col min="29" max="29" width="26" hidden="0" customWidth="1"/>
    <x:col min="30" max="30" width="18" hidden="0" customWidth="1"/>
    <x:col min="31" max="31" width="22" hidden="0" customWidth="1"/>
    <x:col min="32" max="32" width="26" hidden="0" customWidth="1"/>
    <x:col min="33" max="33" width="18" hidden="0" customWidth="1"/>
    <x:col min="34" max="34" width="22" hidden="0" customWidth="1"/>
    <x:col min="35" max="35" width="26" hidden="0" customWidth="1"/>
    <x:col min="36" max="36" width="18" hidden="0" customWidth="1"/>
    <x:col min="37" max="37" width="22" hidden="0" customWidth="1"/>
    <x:col min="38" max="38" width="26" hidden="0" customWidth="1"/>
    <x:col min="39" max="39" width="18" hidden="0" customWidth="1"/>
    <x:col min="40" max="40" width="22" hidden="0" customWidth="1"/>
    <x:col min="41" max="41" width="35" hidden="0" customWidth="1"/>
    <x:col min="42" max="42" width="18" hidden="0" customWidth="1"/>
    <x:col min="43" max="43" width="68" hidden="0" customWidth="1"/>
    <x:col min="44" max="44" width="55" hidden="0" customWidth="1"/>
    <x:col min="45" max="45" width="49" hidden="0" customWidth="1"/>
    <x:col min="46" max="46" width="73" hidden="0" customWidth="1"/>
    <x:col min="47" max="47" width="68" hidden="0" customWidth="1"/>
    <x:col min="48" max="48" width="52" hidden="0" customWidth="1"/>
    <x:col min="49" max="49" width="52" hidden="0" customWidth="1"/>
    <x:col min="50" max="50" width="1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</x:row>
    <x:row r="2" ht="30" customHeight="1">
      <x:c r="A2" s="4" t="str">
        <x:v>Master destinations · one row per place · research proposals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</x:row>
    <x:row r="5" ht="44" customHeight="1">
      <x:c r="A5" s="13" t="str">
        <x:v>Destination key</x:v>
      </x:c>
      <x:c r="B5" s="13" t="str">
        <x:v>Destination name</x:v>
      </x:c>
      <x:c r="C5" s="13" t="str">
        <x:v>Associated eligible careers</x:v>
      </x:c>
      <x:c r="D5" s="13" t="str">
        <x:v>Region</x:v>
      </x:c>
      <x:c r="E5" s="13" t="str">
        <x:v>Verification status</x:v>
      </x:c>
      <x:c r="F5" s="13" t="str">
        <x:v>Recommendation / holds</x:v>
      </x:c>
      <x:c r="G5" s="13" t="str">
        <x:v>Latitude WGS84</x:v>
      </x:c>
      <x:c r="H5" s="13" t="str">
        <x:v>Longitude WGS84</x:v>
      </x:c>
      <x:c r="I5" s="13" t="str">
        <x:v>Elevation ft</x:v>
      </x:c>
      <x:c r="J5" s="13" t="str">
        <x:v>Database runway length m</x:v>
      </x:c>
      <x:c r="K5" s="13" t="str">
        <x:v>Database runway width m</x:v>
      </x:c>
      <x:c r="L5" s="13" t="str">
        <x:v>Database surface</x:v>
      </x:c>
      <x:c r="M5" s="13" t="str">
        <x:v>Database runway orientation</x:v>
      </x:c>
      <x:c r="N5" s="13" t="str">
        <x:v>Landing evidence / conflicts</x:v>
      </x:c>
      <x:c r="O5" s="13" t="str">
        <x:v>Nearby facility / community</x:v>
      </x:c>
      <x:c r="P5" s="13" t="str">
        <x:v>Operational purpose</x:v>
      </x:c>
      <x:c r="Q5" s="13" t="str">
        <x:v>Aircraft suitability</x:v>
      </x:c>
      <x:c r="R5" s="13" t="str">
        <x:v>Simulator evidence</x:v>
      </x:c>
      <x:c r="S5" s="13" t="str">
        <x:v>Eros direct NM</x:v>
      </x:c>
      <x:c r="T5" s="13" t="str">
        <x:v>Walvis Bay direct NM</x:v>
      </x:c>
      <x:c r="U5" s="13" t="str">
        <x:v>C152 airborne min</x:v>
      </x:c>
      <x:c r="V5" s="13" t="str">
        <x:v>C208 airborne min</x:v>
      </x:c>
      <x:c r="W5" s="13" t="str">
        <x:v>Baron airborne min</x:v>
      </x:c>
      <x:c r="X5" s="13" t="str">
        <x:v>Bonanza airborne min</x:v>
      </x:c>
      <x:c r="Y5" s="13" t="str">
        <x:v>PA-28 airborne min</x:v>
      </x:c>
      <x:c r="Z5" s="13" t="str">
        <x:v>Cub airborne min</x:v>
      </x:c>
      <x:c r="AA5" s="13" t="str">
        <x:v>Vision Jet airborne min</x:v>
      </x:c>
      <x:c r="AB5" s="13" t="str">
        <x:v>H125 hypothetical min</x:v>
      </x:c>
      <x:c r="AC5" s="13" t="str">
        <x:v>Missionary gate</x:v>
      </x:c>
      <x:c r="AD5" s="13" t="str">
        <x:v>Missionary /100</x:v>
      </x:c>
      <x:c r="AE5" s="13" t="str">
        <x:v>Missionary experience /25</x:v>
      </x:c>
      <x:c r="AF5" s="13" t="str">
        <x:v>Safari gate</x:v>
      </x:c>
      <x:c r="AG5" s="13" t="str">
        <x:v>Safari /100</x:v>
      </x:c>
      <x:c r="AH5" s="13" t="str">
        <x:v>Safari experience /25</x:v>
      </x:c>
      <x:c r="AI5" s="13" t="str">
        <x:v>Industrial gate</x:v>
      </x:c>
      <x:c r="AJ5" s="13" t="str">
        <x:v>Industrial /100</x:v>
      </x:c>
      <x:c r="AK5" s="13" t="str">
        <x:v>Industrial experience /25</x:v>
      </x:c>
      <x:c r="AL5" s="13" t="str">
        <x:v>Offshore gate</x:v>
      </x:c>
      <x:c r="AM5" s="13" t="str">
        <x:v>Offshore /100</x:v>
      </x:c>
      <x:c r="AN5" s="13" t="str">
        <x:v>Offshore experience /25</x:v>
      </x:c>
      <x:c r="AO5" s="13" t="str">
        <x:v>Existing memberships</x:v>
      </x:c>
      <x:c r="AP5" s="13" t="str">
        <x:v>Sim offset NM</x:v>
      </x:c>
      <x:c r="AQ5" s="13" t="str">
        <x:v>Purpose / operator sources</x:v>
      </x:c>
      <x:c r="AR5" s="13" t="str">
        <x:v>Airport source</x:v>
      </x:c>
      <x:c r="AS5" s="13" t="str">
        <x:v>Coordinate basis</x:v>
      </x:c>
      <x:c r="AT5" s="13" t="str">
        <x:v>Research notes</x:v>
      </x:c>
      <x:c r="AU5" s="13" t="str">
        <x:v>OSM review link</x:v>
      </x:c>
      <x:c r="AV5" s="13" t="str">
        <x:v>Terrain / environment</x:v>
      </x:c>
      <x:c r="AW5" s="13" t="str">
        <x:v>Identifier classification</x:v>
      </x:c>
      <x:c r="AX5" s="13" t="str">
        <x:v>Research date</x:v>
      </x:c>
    </x:row>
    <x:row r="6" ht="54" customHeight="1">
      <x:c r="A6" s="2" t="str">
        <x:v>FYOP</x:v>
      </x:c>
      <x:c r="B6" s="7" t="str">
        <x:v>Opuwa Airport</x:v>
      </x:c>
      <x:c r="C6" s="7" t="str">
        <x:v>Missionary</x:v>
      </x:c>
      <x:c r="D6" s="2" t="str">
        <x:v>NA-KU</x:v>
      </x:c>
      <x:c r="E6" s="7" t="str">
        <x:v>Confirmed in MSFS 2024</x:v>
      </x:c>
      <x:c r="F6" s="7" t="str">
        <x:v>Missionary: Priority validation</x:v>
      </x:c>
      <x:c r="G6" s="16" t="n">
        <x:v>-18.056022</x:v>
      </x:c>
      <x:c r="H6" s="16" t="n">
        <x:v>13.852061</x:v>
      </x:c>
      <x:c r="I6" s="15" t="n">
        <x:v>3770</x:v>
      </x:c>
      <x:c r="J6" s="15"/>
      <x:c r="K6" s="15"/>
      <x:c r="L6" s="2" t="str">
        <x:v>Unknown</x:v>
      </x:c>
      <x:c r="M6" s="2" t="str">
        <x:v>Unknown</x:v>
      </x:c>
      <x:c r="N6" s="7" t="str">
        <x:v>Runway dimensions, width, surface and orientation not established in this pass</x:v>
      </x:c>
      <x:c r="O6" s="7" t="str">
        <x:v>Opuwo hospital, laboratory and outreach network</x:v>
      </x:c>
      <x:c r="P6" s="7" t="str">
        <x:v>Missionary: Opuwo hospital, laboratory and outreach network — Clinic/school supplies and community personnel; proposed game work, not a claim of an existing aviation contract.</x:v>
      </x:c>
      <x:c r="Q6" s="7" t="str">
        <x:v>No aircraft approved by this research. Unknown/conflicting field data: hold performance clearance; assess each type separately.</x:v>
      </x:c>
      <x:c r="R6" s="7" t="str">
        <x:v>Identifier returned in 2026-10-27 cache; offset 0.1 NM from real-world point. Database presence only; scenery/runway uninspected.</x:v>
      </x:c>
      <x:c r="S6" s="15" t="n">
        <x:v>328</x:v>
      </x:c>
      <x:c r="T6" s="15" t="n">
        <x:v>299</x:v>
      </x:c>
      <x:c r="U6" s="2" t="n">
        <x:f>IF(S6="","",ROUNDUP(S6*1.10/'Aircraft and method'!C5*60+'Aircraft and method'!D5,0))</x:f>
        <x:v>249</x:v>
      </x:c>
      <x:c r="V6" s="2" t="n">
        <x:f>IF(S6="","",ROUNDUP(S6*1.10/'Aircraft and method'!C6*60+'Aircraft and method'!D6,0))</x:f>
        <x:v>150</x:v>
      </x:c>
      <x:c r="W6" s="2" t="n">
        <x:f>IF(S6="","",ROUNDUP(S6*1.10/'Aircraft and method'!C7*60+'Aircraft and method'!D7,0))</x:f>
        <x:v>134</x:v>
      </x:c>
      <x:c r="X6" s="2" t="n">
        <x:f>IF(S6="","",ROUNDUP(S6*1.10/'Aircraft and method'!C8*60+'Aircraft and method'!D8,0))</x:f>
        <x:v>150</x:v>
      </x:c>
      <x:c r="Y6" s="2" t="n">
        <x:f>IF(S6="","",ROUNDUP(S6*1.10/'Aircraft and method'!C9*60+'Aircraft and method'!D9,0))</x:f>
        <x:v>205</x:v>
      </x:c>
      <x:c r="Z6" s="2" t="n">
        <x:f>IF(S6="","",ROUNDUP(S6*1.10/'Aircraft and method'!C10*60+'Aircraft and method'!D10,0))</x:f>
        <x:v>277</x:v>
      </x:c>
      <x:c r="AA6" s="2" t="n">
        <x:f>IF(T6="","",ROUNDUP(T6*1.10/IF(T6&lt;60,170,'Aircraft and method'!C11)*60+IF(T6&lt;60,10,'Aircraft and method'!D11),0))</x:f>
        <x:v>105</x:v>
      </x:c>
      <x:c r="AB6" s="2" t="n">
        <x:f>IF(T6="","",ROUNDUP(T6*1.10/'Aircraft and method'!C12*60+'Aircraft and method'!D12,0))</x:f>
        <x:v>190</x:v>
      </x:c>
      <x:c r="AC6" s="7" t="str">
        <x:v>Eligible purpose</x:v>
      </x:c>
      <x:c r="AD6" s="2" t="n">
        <x:f>IF(Scoring!J6="","",Scoring!J6)</x:f>
        <x:v>76</x:v>
      </x:c>
      <x:c r="AE6" s="2" t="n">
        <x:f>Scoring!P6</x:f>
        <x:v>19</x:v>
      </x:c>
      <x:c r="AF6" s="7" t="str">
        <x:v>Ineligible: no evidenced purpose</x:v>
      </x:c>
      <x:c r="AG6" s="2"/>
      <x:c r="AH6" s="2"/>
      <x:c r="AI6" s="7" t="str">
        <x:v>Ineligible: no evidenced purpose</x:v>
      </x:c>
      <x:c r="AJ6" s="2"/>
      <x:c r="AK6" s="2"/>
      <x:c r="AL6" s="7" t="str">
        <x:v>Ineligible: no evidenced purpose</x:v>
      </x:c>
      <x:c r="AM6" s="2"/>
      <x:c r="AN6" s="2"/>
      <x:c r="AO6" s="7" t="str">
        <x:v>Missionary</x:v>
      </x:c>
      <x:c r="AP6" s="2" t="n">
        <x:v>0.12</x:v>
      </x:c>
      <x:c r="AQ6" s="7" t="str">
        <x:v>https://www.wch.gov.na/web/mhss/kunene-region
https://www.nip.com.na/wp-content/uploads/2025/09/REQUEST-FOR-INFORMATION-Provision-of-drone-delivery-services-26-Sept-2025.pdf</x:v>
      </x:c>
      <x:c r="AR6" s="7" t="str">
        <x:v>https://ourairports.com/airports/FYOP/</x:v>
      </x:c>
      <x:c r="AS6" s="7" t="str">
        <x:v>OurAirports snapshot 2026-10-29</x:v>
      </x:c>
      <x:c r="AT6" s="7" t="str">
        <x:v>Referral/outreach hub; direct Eros sector exceeds two hours in C152.</x:v>
      </x:c>
      <x:c r="AU6" s="7" t="str">
        <x:v>https://www.openstreetmap.org/?mlat=-18.056022&amp;mlon=13.852061#map=13/-18.056022/13.852061</x:v>
      </x:c>
      <x:c r="AV6" s="7" t="str">
        <x:v>Kunene hills and dry valleys</x:v>
      </x:c>
      <x:c r="AW6" s="7" t="str">
        <x:v>Published identifier; reconcile with simulator</x:v>
      </x:c>
      <x:c r="AX6" s="2" t="str">
        <x:v>2026-10-29</x:v>
      </x:c>
    </x:row>
    <x:row r="7" ht="54" customHeight="1">
      <x:c r="A7" s="2" t="str">
        <x:v>FYSF</x:v>
      </x:c>
      <x:c r="B7" s="7" t="str">
        <x:v>Sesfontein Airport</x:v>
      </x:c>
      <x:c r="C7" s="7" t="str">
        <x:v>Missionary</x:v>
      </x:c>
      <x:c r="D7" s="2" t="str">
        <x:v>NA-KU</x:v>
      </x:c>
      <x:c r="E7" s="7" t="str">
        <x:v>Confirmed real-world destination; MSFS status unverified</x:v>
      </x:c>
      <x:c r="F7" s="7" t="str">
        <x:v>Missionary: Priority validation</x:v>
      </x:c>
      <x:c r="G7" s="16" t="n">
        <x:v>-19.10185</x:v>
      </x:c>
      <x:c r="H7" s="16" t="n">
        <x:v>13.64785</x:v>
      </x:c>
      <x:c r="I7" s="15" t="n">
        <x:v>1800</x:v>
      </x:c>
      <x:c r="J7" s="15"/>
      <x:c r="K7" s="15"/>
      <x:c r="L7" s="2" t="str">
        <x:v>Unknown</x:v>
      </x:c>
      <x:c r="M7" s="2" t="str">
        <x:v>Unknown</x:v>
      </x:c>
      <x:c r="N7" s="7" t="str">
        <x:v>Runway dimensions, width, surface and orientation not established in this pass</x:v>
      </x:c>
      <x:c r="O7" s="7" t="str">
        <x:v>Sesfontein health centre and surrounding communities</x:v>
      </x:c>
      <x:c r="P7" s="7" t="str">
        <x:v>Missionary: Sesfontein health centre and surrounding communities — Clinic/school supplies and community personnel; proposed game work, not a claim of an existing aviation contract.</x:v>
      </x:c>
      <x:c r="Q7" s="7" t="str">
        <x:v>No aircraft approved by this research. Unknown/conflicting field data: hold performance clearance; assess each type separately.</x:v>
      </x:c>
      <x:c r="R7" s="7" t="str">
        <x:v>Not returned by 2026-10-16 published scan or 2026-10-27 cached scan; no new query. Search by geography/alternate identifier before custom scenery.</x:v>
      </x:c>
      <x:c r="S7" s="15" t="n">
        <x:v>285.1</x:v>
      </x:c>
      <x:c r="T7" s="15" t="n">
        <x:v>239.4</x:v>
      </x:c>
      <x:c r="U7" s="2" t="n">
        <x:f>IF(S7="","",ROUNDUP(S7*1.10/'Aircraft and method'!C5*60+'Aircraft and method'!D5,0))</x:f>
        <x:v>218</x:v>
      </x:c>
      <x:c r="V7" s="2" t="n">
        <x:f>IF(S7="","",ROUNDUP(S7*1.10/'Aircraft and method'!C6*60+'Aircraft and method'!D6,0))</x:f>
        <x:v>132</x:v>
      </x:c>
      <x:c r="W7" s="2" t="n">
        <x:f>IF(S7="","",ROUNDUP(S7*1.10/'Aircraft and method'!C7*60+'Aircraft and method'!D7,0))</x:f>
        <x:v>118</x:v>
      </x:c>
      <x:c r="X7" s="2" t="n">
        <x:f>IF(S7="","",ROUNDUP(S7*1.10/'Aircraft and method'!C8*60+'Aircraft and method'!D8,0))</x:f>
        <x:v>132</x:v>
      </x:c>
      <x:c r="Y7" s="2" t="n">
        <x:f>IF(S7="","",ROUNDUP(S7*1.10/'Aircraft and method'!C9*60+'Aircraft and method'!D9,0))</x:f>
        <x:v>180</x:v>
      </x:c>
      <x:c r="Z7" s="2" t="n">
        <x:f>IF(S7="","",ROUNDUP(S7*1.10/'Aircraft and method'!C10*60+'Aircraft and method'!D10,0))</x:f>
        <x:v>242</x:v>
      </x:c>
      <x:c r="AA7" s="2" t="n">
        <x:f>IF(T7="","",ROUNDUP(T7*1.10/IF(T7&lt;60,170,'Aircraft and method'!C11)*60+IF(T7&lt;60,10,'Aircraft and method'!D11),0))</x:f>
        <x:v>87</x:v>
      </x:c>
      <x:c r="AB7" s="2" t="n">
        <x:f>IF(T7="","",ROUNDUP(T7*1.10/'Aircraft and method'!C12*60+'Aircraft and method'!D12,0))</x:f>
        <x:v>154</x:v>
      </x:c>
      <x:c r="AC7" s="7" t="str">
        <x:v>Eligible purpose</x:v>
      </x:c>
      <x:c r="AD7" s="2" t="n">
        <x:f>IF(Scoring!J7="","",Scoring!J7)</x:f>
        <x:v>80</x:v>
      </x:c>
      <x:c r="AE7" s="2" t="n">
        <x:f>Scoring!P7</x:f>
        <x:v>22</x:v>
      </x:c>
      <x:c r="AF7" s="7" t="str">
        <x:v>Ineligible: no evidenced purpose</x:v>
      </x:c>
      <x:c r="AG7" s="2"/>
      <x:c r="AH7" s="2"/>
      <x:c r="AI7" s="7" t="str">
        <x:v>Ineligible: no evidenced purpose</x:v>
      </x:c>
      <x:c r="AJ7" s="2"/>
      <x:c r="AK7" s="2"/>
      <x:c r="AL7" s="7" t="str">
        <x:v>Ineligible: no evidenced purpose</x:v>
      </x:c>
      <x:c r="AM7" s="2"/>
      <x:c r="AN7" s="2"/>
      <x:c r="AO7" s="7" t="str">
        <x:v>Missionary</x:v>
      </x:c>
      <x:c r="AP7" s="2"/>
      <x:c r="AQ7" s="7" t="str">
        <x:v>https://www.wch.gov.na/web/mhss/kunene-region
https://www.nip.com.na/wp-content/uploads/2025/09/REQUEST-FOR-INFORMATION-Provision-of-drone-delivery-services-26-Sept-2025.pdf</x:v>
      </x:c>
      <x:c r="AR7" s="7" t="str">
        <x:v>https://ourairports.com/airports/FYSF/</x:v>
      </x:c>
      <x:c r="AS7" s="7" t="str">
        <x:v>OurAirports snapshot 2026-10-29</x:v>
      </x:c>
      <x:c r="AT7" s="7" t="str">
        <x:v>High-value purpose; absent identifier in recorded scan; no scenery approval.</x:v>
      </x:c>
      <x:c r="AU7" s="7" t="str">
        <x:v>https://www.openstreetmap.org/?mlat=-19.101850&amp;mlon=13.647850#map=13/-19.101850/13.647850</x:v>
      </x:c>
      <x:c r="AV7" s="7" t="str">
        <x:v>Hoanib valley gateway and escarpment</x:v>
      </x:c>
      <x:c r="AW7" s="7" t="str">
        <x:v>Published identifier; reconcile with simulator</x:v>
      </x:c>
      <x:c r="AX7" s="2" t="str">
        <x:v>2026-10-29</x:v>
      </x:c>
    </x:row>
    <x:row r="8" ht="54" customHeight="1">
      <x:c r="A8" s="2" t="str">
        <x:v>FYEF</x:v>
      </x:c>
      <x:c r="B8" s="7" t="str">
        <x:v>Epupa Falls Airstrip.</x:v>
      </x:c>
      <x:c r="C8" s="7" t="str">
        <x:v>Missionary</x:v>
      </x:c>
      <x:c r="D8" s="2" t="str">
        <x:v>NA-KU</x:v>
      </x:c>
      <x:c r="E8" s="7" t="str">
        <x:v>Confirmed in MSFS 2024</x:v>
      </x:c>
      <x:c r="F8" s="7" t="str">
        <x:v>Missionary: Extended network</x:v>
      </x:c>
      <x:c r="G8" s="16" t="n">
        <x:v>-17.029332</x:v>
      </x:c>
      <x:c r="H8" s="16" t="n">
        <x:v>13.210312</x:v>
      </x:c>
      <x:c r="I8" s="15" t="n">
        <x:v>2549</x:v>
      </x:c>
      <x:c r="J8" s="15"/>
      <x:c r="K8" s="15"/>
      <x:c r="L8" s="2" t="str">
        <x:v>Unknown</x:v>
      </x:c>
      <x:c r="M8" s="2" t="str">
        <x:v>Unknown</x:v>
      </x:c>
      <x:c r="N8" s="7" t="str">
        <x:v>Runway dimensions, width, surface and orientation not established in this pass</x:v>
      </x:c>
      <x:c r="O8" s="7" t="str">
        <x:v>Epupa Clinic and Kunene communities</x:v>
      </x:c>
      <x:c r="P8" s="7" t="str">
        <x:v>Missionary: Epupa Clinic and Kunene communities — Clinic/school supplies and community personnel; proposed game work, not a claim of an existing aviation contract.</x:v>
      </x:c>
      <x:c r="Q8" s="7" t="str">
        <x:v>No aircraft approved by this research. Unknown/conflicting field data: hold performance clearance; assess each type separately.</x:v>
      </x:c>
      <x:c r="R8" s="7" t="str">
        <x:v>Identifier returned in 2026-10-27 cache; offset 0.0 NM from real-world point. Database presence only; scenery/runway uninspected.</x:v>
      </x:c>
      <x:c r="S8" s="15" t="n">
        <x:v>399.7</x:v>
      </x:c>
      <x:c r="T8" s="15" t="n">
        <x:v>366.3</x:v>
      </x:c>
      <x:c r="U8" s="2" t="n">
        <x:f>IF(S8="","",ROUNDUP(S8*1.10/'Aircraft and method'!C5*60+'Aircraft and method'!D5,0))</x:f>
        <x:v>302</x:v>
      </x:c>
      <x:c r="V8" s="2" t="n">
        <x:f>IF(S8="","",ROUNDUP(S8*1.10/'Aircraft and method'!C6*60+'Aircraft and method'!D6,0))</x:f>
        <x:v>181</x:v>
      </x:c>
      <x:c r="W8" s="2" t="n">
        <x:f>IF(S8="","",ROUNDUP(S8*1.10/'Aircraft and method'!C7*60+'Aircraft and method'!D7,0))</x:f>
        <x:v>161</x:v>
      </x:c>
      <x:c r="X8" s="2" t="n">
        <x:f>IF(S8="","",ROUNDUP(S8*1.10/'Aircraft and method'!C8*60+'Aircraft and method'!D8,0))</x:f>
        <x:v>181</x:v>
      </x:c>
      <x:c r="Y8" s="2" t="n">
        <x:f>IF(S8="","",ROUNDUP(S8*1.10/'Aircraft and method'!C9*60+'Aircraft and method'!D9,0))</x:f>
        <x:v>248</x:v>
      </x:c>
      <x:c r="Z8" s="2" t="n">
        <x:f>IF(S8="","",ROUNDUP(S8*1.10/'Aircraft and method'!C10*60+'Aircraft and method'!D10,0))</x:f>
        <x:v>336</x:v>
      </x:c>
      <x:c r="AA8" s="2" t="n">
        <x:f>IF(T8="","",ROUNDUP(T8*1.10/IF(T8&lt;60,170,'Aircraft and method'!C11)*60+IF(T8&lt;60,10,'Aircraft and method'!D11),0))</x:f>
        <x:v>125</x:v>
      </x:c>
      <x:c r="AB8" s="2" t="n">
        <x:f>IF(T8="","",ROUNDUP(T8*1.10/'Aircraft and method'!C12*60+'Aircraft and method'!D12,0))</x:f>
        <x:v>230</x:v>
      </x:c>
      <x:c r="AC8" s="7" t="str">
        <x:v>Eligible purpose</x:v>
      </x:c>
      <x:c r="AD8" s="2" t="n">
        <x:f>IF(Scoring!J8="","",Scoring!J8)</x:f>
        <x:v>67</x:v>
      </x:c>
      <x:c r="AE8" s="2" t="n">
        <x:f>Scoring!P8</x:f>
        <x:v>23</x:v>
      </x:c>
      <x:c r="AF8" s="7" t="str">
        <x:v>Ineligible: no evidenced purpose</x:v>
      </x:c>
      <x:c r="AG8" s="2"/>
      <x:c r="AH8" s="2"/>
      <x:c r="AI8" s="7" t="str">
        <x:v>Ineligible: no evidenced purpose</x:v>
      </x:c>
      <x:c r="AJ8" s="2"/>
      <x:c r="AK8" s="2"/>
      <x:c r="AL8" s="7" t="str">
        <x:v>Ineligible: no evidenced purpose</x:v>
      </x:c>
      <x:c r="AM8" s="2"/>
      <x:c r="AN8" s="2"/>
      <x:c r="AO8" s="7" t="str">
        <x:v>Missionary</x:v>
      </x:c>
      <x:c r="AP8" s="2" t="n">
        <x:v>0.03</x:v>
      </x:c>
      <x:c r="AQ8" s="7" t="str">
        <x:v>https://www.wch.gov.na/web/mhss/kunene-region</x:v>
      </x:c>
      <x:c r="AR8" s="7" t="str">
        <x:v>https://ourairports.com/airports/FYEF/</x:v>
      </x:c>
      <x:c r="AS8" s="7" t="str">
        <x:v>OurAirports snapshot 2026-10-29</x:v>
      </x:c>
      <x:c r="AT8" s="7" t="str">
        <x:v>Clinic association credible; ground transfer required; long from Eros.</x:v>
      </x:c>
      <x:c r="AU8" s="7" t="str">
        <x:v>https://www.openstreetmap.org/?mlat=-17.029332&amp;mlon=13.210312#map=13/-17.029332/13.210312</x:v>
      </x:c>
      <x:c r="AV8" s="7" t="str">
        <x:v>Kunene River, falls and rugged hills</x:v>
      </x:c>
      <x:c r="AW8" s="7" t="str">
        <x:v>Published identifier; reconcile with simulator</x:v>
      </x:c>
      <x:c r="AX8" s="2" t="str">
        <x:v>2026-10-29</x:v>
      </x:c>
    </x:row>
    <x:row r="9" ht="68" customHeight="1">
      <x:c r="A9" s="2" t="str">
        <x:v>NA-0160</x:v>
      </x:c>
      <x:c r="B9" s="7" t="str">
        <x:v>Okangwati Airport</x:v>
      </x:c>
      <x:c r="C9" s="7" t="str">
        <x:v>Missionary</x:v>
      </x:c>
      <x:c r="D9" s="2" t="str">
        <x:v>NA-KU</x:v>
      </x:c>
      <x:c r="E9" s="7" t="str">
        <x:v>Partially verified</x:v>
      </x:c>
      <x:c r="F9" s="7" t="str">
        <x:v>Missionary: Hold: identifier/location conflict</x:v>
      </x:c>
      <x:c r="G9" s="16" t="n">
        <x:v>-17.43873</x:v>
      </x:c>
      <x:c r="H9" s="16" t="n">
        <x:v>13.2782</x:v>
      </x:c>
      <x:c r="I9" s="15" t="n">
        <x:v>3555</x:v>
      </x:c>
      <x:c r="J9" s="15"/>
      <x:c r="K9" s="15"/>
      <x:c r="L9" s="2" t="str">
        <x:v>Unknown</x:v>
      </x:c>
      <x:c r="M9" s="2" t="str">
        <x:v>Unknown</x:v>
      </x:c>
      <x:c r="N9" s="7" t="str">
        <x:v>Runway dimensions, width, surface and orientation not established in this pass</x:v>
      </x:c>
      <x:c r="O9" s="7" t="str">
        <x:v>Okangwati health centre and combined school</x:v>
      </x:c>
      <x:c r="P9" s="7" t="str">
        <x:v>Missionary: Okangwati health centre and combined school — Clinic/school supplies and community personnel; proposed game work, not a claim of an existing aviation contract.</x:v>
      </x:c>
      <x:c r="Q9" s="7" t="str">
        <x:v>No aircraft approved by this research. Unknown/conflicting field data: hold performance clearance; assess each type separately.</x:v>
      </x:c>
      <x:c r="R9" s="7" t="str">
        <x:v>Identifier returned in 2026-10-27 cache; offset 588.6 NM from real-world point. WRONG-LOCATION ASSOCIATION; hold.</x:v>
      </x:c>
      <x:c r="S9" s="15" t="n">
        <x:v>377</x:v>
      </x:c>
      <x:c r="T9" s="15" t="n">
        <x:v>341.5</x:v>
      </x:c>
      <x:c r="U9" s="2" t="n">
        <x:f>IF(S9="","",ROUNDUP(S9*1.10/'Aircraft and method'!C5*60+'Aircraft and method'!D5,0))</x:f>
        <x:v>285</x:v>
      </x:c>
      <x:c r="V9" s="2" t="n">
        <x:f>IF(S9="","",ROUNDUP(S9*1.10/'Aircraft and method'!C6*60+'Aircraft and method'!D6,0))</x:f>
        <x:v>171</x:v>
      </x:c>
      <x:c r="W9" s="2" t="n">
        <x:f>IF(S9="","",ROUNDUP(S9*1.10/'Aircraft and method'!C7*60+'Aircraft and method'!D7,0))</x:f>
        <x:v>153</x:v>
      </x:c>
      <x:c r="X9" s="2" t="n">
        <x:f>IF(S9="","",ROUNDUP(S9*1.10/'Aircraft and method'!C8*60+'Aircraft and method'!D8,0))</x:f>
        <x:v>171</x:v>
      </x:c>
      <x:c r="Y9" s="2" t="n">
        <x:f>IF(S9="","",ROUNDUP(S9*1.10/'Aircraft and method'!C9*60+'Aircraft and method'!D9,0))</x:f>
        <x:v>235</x:v>
      </x:c>
      <x:c r="Z9" s="2" t="n">
        <x:f>IF(S9="","",ROUNDUP(S9*1.10/'Aircraft and method'!C10*60+'Aircraft and method'!D10,0))</x:f>
        <x:v>318</x:v>
      </x:c>
      <x:c r="AA9" s="2" t="n">
        <x:f>IF(T9="","",ROUNDUP(T9*1.10/IF(T9&lt;60,170,'Aircraft and method'!C11)*60+IF(T9&lt;60,10,'Aircraft and method'!D11),0))</x:f>
        <x:v>118</x:v>
      </x:c>
      <x:c r="AB9" s="2" t="n">
        <x:f>IF(T9="","",ROUNDUP(T9*1.10/'Aircraft and method'!C12*60+'Aircraft and method'!D12,0))</x:f>
        <x:v>215</x:v>
      </x:c>
      <x:c r="AC9" s="7" t="str">
        <x:v>Eligible purpose</x:v>
      </x:c>
      <x:c r="AD9" s="2" t="n">
        <x:f>IF(Scoring!J9="","",Scoring!J9)</x:f>
        <x:v>67</x:v>
      </x:c>
      <x:c r="AE9" s="2" t="n">
        <x:f>Scoring!P9</x:f>
        <x:v>22</x:v>
      </x:c>
      <x:c r="AF9" s="7" t="str">
        <x:v>Ineligible: no evidenced purpose</x:v>
      </x:c>
      <x:c r="AG9" s="2"/>
      <x:c r="AH9" s="2"/>
      <x:c r="AI9" s="7" t="str">
        <x:v>Ineligible: no evidenced purpose</x:v>
      </x:c>
      <x:c r="AJ9" s="2"/>
      <x:c r="AK9" s="2"/>
      <x:c r="AL9" s="7" t="str">
        <x:v>Ineligible: no evidenced purpose</x:v>
      </x:c>
      <x:c r="AM9" s="2"/>
      <x:c r="AN9" s="2"/>
      <x:c r="AO9" s="7" t="str">
        <x:v>Missionary (legacy FYKW)</x:v>
      </x:c>
      <x:c r="AP9" s="2" t="n">
        <x:v>588.56</x:v>
      </x:c>
      <x:c r="AQ9" s="7" t="str">
        <x:v>https://the-eis.com/elibrary/sites/default/files/downloads/literature/3030_EASR_Fuel%20retail%20facility%20in%20Okangwati_Kunene%20Region.pdf
https://www.wch.gov.na/web/mhss/kunene-region</x:v>
      </x:c>
      <x:c r="AR9" s="7" t="str">
        <x:v>https://ourairports.com/airports/NA-0160/</x:v>
      </x:c>
      <x:c r="AS9" s="7" t="str">
        <x:v>OurAirports snapshot 2026-10-29</x:v>
      </x:c>
      <x:c r="AT9" s="7" t="str">
        <x:v>App FYKW resolves roughly 590 NM east of this settlement. EIA describes military strip. NIP clinic latitude conflicts with settlement; do not use it as airport coordinate.</x:v>
      </x:c>
      <x:c r="AU9" s="7" t="str">
        <x:v>https://www.openstreetmap.org/?mlat=-17.438730&amp;mlon=13.278200#map=13/-17.438730/13.278200</x:v>
      </x:c>
      <x:c r="AV9" s="7" t="str">
        <x:v>Zebra Mountains and Kunene hinterland</x:v>
      </x:c>
      <x:c r="AW9" s="7" t="str">
        <x:v>OurAirports database key, not certified ICAO</x:v>
      </x:c>
      <x:c r="AX9" s="2" t="str">
        <x:v>2026-10-29</x:v>
      </x:c>
    </x:row>
    <x:row r="10" ht="54" customHeight="1">
      <x:c r="A10" s="2" t="str">
        <x:v>NA-0169</x:v>
      </x:c>
      <x:c r="B10" s="7" t="str">
        <x:v>Ehomba Airport</x:v>
      </x:c>
      <x:c r="C10" s="7" t="str">
        <x:v>Missionary</x:v>
      </x:c>
      <x:c r="D10" s="2" t="str">
        <x:v>NA-KU</x:v>
      </x:c>
      <x:c r="E10" s="7" t="str">
        <x:v>Confirmed real-world destination; MSFS status unverified</x:v>
      </x:c>
      <x:c r="F10" s="7" t="str">
        <x:v>Missionary: Extended network</x:v>
      </x:c>
      <x:c r="G10" s="16" t="n">
        <x:v>-17.488</x:v>
      </x:c>
      <x:c r="H10" s="16" t="n">
        <x:v>13.836836</x:v>
      </x:c>
      <x:c r="I10" s="15" t="n">
        <x:v>3578</x:v>
      </x:c>
      <x:c r="J10" s="15"/>
      <x:c r="K10" s="15"/>
      <x:c r="L10" s="2" t="str">
        <x:v>Unknown</x:v>
      </x:c>
      <x:c r="M10" s="2" t="str">
        <x:v>Unknown</x:v>
      </x:c>
      <x:c r="N10" s="7" t="str">
        <x:v>Runway dimensions, width, surface and orientation not established in this pass</x:v>
      </x:c>
      <x:c r="O10" s="7" t="str">
        <x:v>Ehomba Combined School and feeder schools</x:v>
      </x:c>
      <x:c r="P10" s="7" t="str">
        <x:v>Missionary: Ehomba Combined School and feeder schools — Clinic/school supplies and community personnel; proposed game work, not a claim of an existing aviation contract.</x:v>
      </x:c>
      <x:c r="Q10" s="7" t="str">
        <x:v>No aircraft approved by this research. Unknown/conflicting field data: hold performance clearance; assess each type separately.</x:v>
      </x:c>
      <x:c r="R10" s="7" t="str">
        <x:v>Not queried by this cache; absence cannot be inferred.</x:v>
      </x:c>
      <x:c r="S10" s="15" t="n">
        <x:v>357.5</x:v>
      </x:c>
      <x:c r="T10" s="15" t="n">
        <x:v>332.9</x:v>
      </x:c>
      <x:c r="U10" s="2" t="n">
        <x:f>IF(S10="","",ROUNDUP(S10*1.10/'Aircraft and method'!C5*60+'Aircraft and method'!D5,0))</x:f>
        <x:v>271</x:v>
      </x:c>
      <x:c r="V10" s="2" t="n">
        <x:f>IF(S10="","",ROUNDUP(S10*1.10/'Aircraft and method'!C6*60+'Aircraft and method'!D6,0))</x:f>
        <x:v>163</x:v>
      </x:c>
      <x:c r="W10" s="2" t="n">
        <x:f>IF(S10="","",ROUNDUP(S10*1.10/'Aircraft and method'!C7*60+'Aircraft and method'!D7,0))</x:f>
        <x:v>145</x:v>
      </x:c>
      <x:c r="X10" s="2" t="n">
        <x:f>IF(S10="","",ROUNDUP(S10*1.10/'Aircraft and method'!C8*60+'Aircraft and method'!D8,0))</x:f>
        <x:v>163</x:v>
      </x:c>
      <x:c r="Y10" s="2" t="n">
        <x:f>IF(S10="","",ROUNDUP(S10*1.10/'Aircraft and method'!C9*60+'Aircraft and method'!D9,0))</x:f>
        <x:v>223</x:v>
      </x:c>
      <x:c r="Z10" s="2" t="n">
        <x:f>IF(S10="","",ROUNDUP(S10*1.10/'Aircraft and method'!C10*60+'Aircraft and method'!D10,0))</x:f>
        <x:v>301</x:v>
      </x:c>
      <x:c r="AA10" s="2" t="n">
        <x:f>IF(T10="","",ROUNDUP(T10*1.10/IF(T10&lt;60,170,'Aircraft and method'!C11)*60+IF(T10&lt;60,10,'Aircraft and method'!D11),0))</x:f>
        <x:v>115</x:v>
      </x:c>
      <x:c r="AB10" s="2" t="n">
        <x:f>IF(T10="","",ROUNDUP(T10*1.10/'Aircraft and method'!C12*60+'Aircraft and method'!D12,0))</x:f>
        <x:v>210</x:v>
      </x:c>
      <x:c r="AC10" s="7" t="str">
        <x:v>Eligible purpose</x:v>
      </x:c>
      <x:c r="AD10" s="2" t="n">
        <x:f>IF(Scoring!J10="","",Scoring!J10)</x:f>
        <x:v>67</x:v>
      </x:c>
      <x:c r="AE10" s="2" t="n">
        <x:f>Scoring!P10</x:f>
        <x:v>21</x:v>
      </x:c>
      <x:c r="AF10" s="7" t="str">
        <x:v>Ineligible: no evidenced purpose</x:v>
      </x:c>
      <x:c r="AG10" s="2"/>
      <x:c r="AH10" s="2"/>
      <x:c r="AI10" s="7" t="str">
        <x:v>Ineligible: no evidenced purpose</x:v>
      </x:c>
      <x:c r="AJ10" s="2"/>
      <x:c r="AK10" s="2"/>
      <x:c r="AL10" s="7" t="str">
        <x:v>Ineligible: no evidenced purpose</x:v>
      </x:c>
      <x:c r="AM10" s="2"/>
      <x:c r="AN10" s="2"/>
      <x:c r="AO10" s="7" t="str">
        <x:v>Missionary</x:v>
      </x:c>
      <x:c r="AP10" s="2"/>
      <x:c r="AQ10" s="7" t="str">
        <x:v>https://www.namibiankids.org.nz/take-action</x:v>
      </x:c>
      <x:c r="AR10" s="7" t="str">
        <x:v>https://ourairports.com/airports/NA-0169/</x:v>
      </x:c>
      <x:c r="AS10" s="7" t="str">
        <x:v>OurAirports snapshot 2026-10-29</x:v>
      </x:c>
      <x:c r="AT10" s="7" t="str">
        <x:v>Strong education purpose; identifier is a database key; no runway evidence or MSFS lookup.</x:v>
      </x:c>
      <x:c r="AU10" s="7" t="str">
        <x:v>https://www.openstreetmap.org/?mlat=-17.488000&amp;mlon=13.836836#map=13/-17.488000/13.836836</x:v>
      </x:c>
      <x:c r="AV10" s="7" t="str">
        <x:v>Kunene foothills and river hinterland</x:v>
      </x:c>
      <x:c r="AW10" s="7" t="str">
        <x:v>OurAirports database key, not certified ICAO</x:v>
      </x:c>
      <x:c r="AX10" s="2" t="str">
        <x:v>2026-10-29</x:v>
      </x:c>
    </x:row>
    <x:row r="11" ht="54" customHeight="1">
      <x:c r="A11" s="2" t="str">
        <x:v>FYRC</x:v>
      </x:c>
      <x:c r="B11" s="7" t="str">
        <x:v>Ruacana Airport</x:v>
      </x:c>
      <x:c r="C11" s="7" t="str"/>
      <x:c r="D11" s="2" t="str">
        <x:v>NA-KU</x:v>
      </x:c>
      <x:c r="E11" s="7" t="str">
        <x:v>Confirmed in MSFS 2024</x:v>
      </x:c>
      <x:c r="F11" s="7" t="str">
        <x:v>Missionary: Research hold</x:v>
      </x:c>
      <x:c r="G11" s="16" t="n">
        <x:v>-17.420601</x:v>
      </x:c>
      <x:c r="H11" s="16" t="n">
        <x:v>14.3717</x:v>
      </x:c>
      <x:c r="I11" s="15" t="n">
        <x:v>3765</x:v>
      </x:c>
      <x:c r="J11" s="15" t="n">
        <x:v>2170.8</x:v>
      </x:c>
      <x:c r="K11" s="15" t="n">
        <x:v>29.9</x:v>
      </x:c>
      <x:c r="L11" s="2" t="str">
        <x:v>ASP</x:v>
      </x:c>
      <x:c r="M11" s="2" t="str">
        <x:v>11/29</x:v>
      </x:c>
      <x:c r="N11" s="7" t="str">
        <x:v>2171 x 30 m; ASP; 11/29</x:v>
      </x:c>
      <x:c r="O11" s="7" t="str">
        <x:v>Ruacana community service network</x:v>
      </x:c>
      <x:c r="P11" s="7" t="str">
        <x:v>Missionary: Ruacana community service network — No specific community service recipient established; purpose gate not passed.</x:v>
      </x:c>
      <x:c r="Q11" s="7" t="str">
        <x:v>No aircraft approved by this research. Known paved runway: candidate for fleet-specific AFM/weight/density-altitude assessment.</x:v>
      </x:c>
      <x:c r="R11" s="7" t="str">
        <x:v>Identifier returned in 2026-10-27 cache; offset 0.4 NM from real-world point. Database presence only; scenery/runway uninspected.</x:v>
      </x:c>
      <x:c r="S11" s="15" t="n">
        <x:v>346.7</x:v>
      </x:c>
      <x:c r="T11" s="15" t="n">
        <x:v>334.1</x:v>
      </x:c>
      <x:c r="U11" s="2" t="n">
        <x:f>IF(S11="","",ROUNDUP(S11*1.10/'Aircraft and method'!C5*60+'Aircraft and method'!D5,0))</x:f>
        <x:v>263</x:v>
      </x:c>
      <x:c r="V11" s="2" t="n">
        <x:f>IF(S11="","",ROUNDUP(S11*1.10/'Aircraft and method'!C6*60+'Aircraft and method'!D6,0))</x:f>
        <x:v>158</x:v>
      </x:c>
      <x:c r="W11" s="2" t="n">
        <x:f>IF(S11="","",ROUNDUP(S11*1.10/'Aircraft and method'!C7*60+'Aircraft and method'!D7,0))</x:f>
        <x:v>141</x:v>
      </x:c>
      <x:c r="X11" s="2" t="n">
        <x:f>IF(S11="","",ROUNDUP(S11*1.10/'Aircraft and method'!C8*60+'Aircraft and method'!D8,0))</x:f>
        <x:v>158</x:v>
      </x:c>
      <x:c r="Y11" s="2" t="n">
        <x:f>IF(S11="","",ROUNDUP(S11*1.10/'Aircraft and method'!C9*60+'Aircraft and method'!D9,0))</x:f>
        <x:v>217</x:v>
      </x:c>
      <x:c r="Z11" s="2" t="n">
        <x:f>IF(S11="","",ROUNDUP(S11*1.10/'Aircraft and method'!C10*60+'Aircraft and method'!D10,0))</x:f>
        <x:v>293</x:v>
      </x:c>
      <x:c r="AA11" s="2" t="n">
        <x:f>IF(T11="","",ROUNDUP(T11*1.10/IF(T11&lt;60,170,'Aircraft and method'!C11)*60+IF(T11&lt;60,10,'Aircraft and method'!D11),0))</x:f>
        <x:v>116</x:v>
      </x:c>
      <x:c r="AB11" s="2" t="n">
        <x:f>IF(T11="","",ROUNDUP(T11*1.10/'Aircraft and method'!C12*60+'Aircraft and method'!D12,0))</x:f>
        <x:v>211</x:v>
      </x:c>
      <x:c r="AC11" s="7" t="str">
        <x:v>Ineligible purpose</x:v>
      </x:c>
      <x:c r="AD11" s="2" t="str">
        <x:f>IF(Scoring!J11="","",Scoring!J11)</x:f>
      </x:c>
      <x:c r="AE11" s="2" t="n">
        <x:f>Scoring!P11</x:f>
        <x:v>15</x:v>
      </x:c>
      <x:c r="AF11" s="7" t="str">
        <x:v>Ineligible: no evidenced purpose</x:v>
      </x:c>
      <x:c r="AG11" s="2"/>
      <x:c r="AH11" s="2"/>
      <x:c r="AI11" s="7" t="str">
        <x:v>Ineligible: no evidenced purpose</x:v>
      </x:c>
      <x:c r="AJ11" s="2"/>
      <x:c r="AK11" s="2"/>
      <x:c r="AL11" s="7" t="str">
        <x:v>Ineligible: no evidenced purpose</x:v>
      </x:c>
      <x:c r="AM11" s="2"/>
      <x:c r="AN11" s="2"/>
      <x:c r="AO11" s="7" t="str">
        <x:v>Missionary</x:v>
      </x:c>
      <x:c r="AP11" s="2" t="n">
        <x:v>0.44</x:v>
      </x:c>
      <x:c r="AQ11" s="7" t="str">
        <x:v>https://wch.gov.na/web/mhss/omusati-region</x:v>
      </x:c>
      <x:c r="AR11" s="7" t="str">
        <x:v>https://ourairports.com/airports/FYRC/</x:v>
      </x:c>
      <x:c r="AS11" s="7" t="str">
        <x:v>OurAirports snapshot 2026-10-29</x:v>
      </x:c>
      <x:c r="AT11" s="7" t="str">
        <x:v>Community association needs a named service recipient and verified ground transfer; reserve research candidate rather than generic medical demand.</x:v>
      </x:c>
      <x:c r="AU11" s="7" t="str">
        <x:v>https://www.openstreetmap.org/?mlat=-17.420601&amp;mlon=14.371700#map=13/-17.420601/14.371700</x:v>
      </x:c>
      <x:c r="AV11" s="7" t="str">
        <x:v>Kunene hydro landscape and border escarpment</x:v>
      </x:c>
      <x:c r="AW11" s="7" t="str">
        <x:v>Published identifier; reconcile with simulator</x:v>
      </x:c>
      <x:c r="AX11" s="2" t="str">
        <x:v>2026-10-29</x:v>
      </x:c>
    </x:row>
    <x:row r="12" ht="54" customHeight="1">
      <x:c r="A12" s="2" t="str">
        <x:v>FYTK</x:v>
      </x:c>
      <x:c r="B12" s="7" t="str">
        <x:v>Tsumkwe Airport</x:v>
      </x:c>
      <x:c r="C12" s="7" t="str">
        <x:v>Missionary / Safari</x:v>
      </x:c>
      <x:c r="D12" s="2" t="str">
        <x:v>NA-OD</x:v>
      </x:c>
      <x:c r="E12" s="7" t="str">
        <x:v>Confirmed in MSFS 2024</x:v>
      </x:c>
      <x:c r="F12" s="7" t="str">
        <x:v>Missionary: Priority validation; Safari: Extended network</x:v>
      </x:c>
      <x:c r="G12" s="16" t="n">
        <x:v>-19.584999</x:v>
      </x:c>
      <x:c r="H12" s="16" t="n">
        <x:v>20.452801</x:v>
      </x:c>
      <x:c r="I12" s="15" t="n">
        <x:v>3780</x:v>
      </x:c>
      <x:c r="J12" s="15"/>
      <x:c r="K12" s="15"/>
      <x:c r="L12" s="2" t="str">
        <x:v>Unknown</x:v>
      </x:c>
      <x:c r="M12" s="2" t="str">
        <x:v>Unknown</x:v>
      </x:c>
      <x:c r="N12" s="7" t="str">
        <x:v>Runway dimensions, width, surface and orientation not established in this pass</x:v>
      </x:c>
      <x:c r="O12" s="7" t="str">
        <x:v>Tsumkwe / Nyae Nyae community and conservancy</x:v>
      </x:c>
      <x:c r="P12" s="7" t="str">
        <x:v>Missionary: Tsumkwe / Nyae Nyae community and conservancy — Clinic/school supplies and community personnel; proposed game work, not a claim of an existing aviation contract.
Safari: Tsumkwe / Nyae Nyae community and conservancy — Conservancy liaison/equipment and community-led tourism support distinct from community supplies.</x:v>
      </x:c>
      <x:c r="Q12" s="7" t="str">
        <x:v>No aircraft approved by this research. Unknown/conflicting field data: hold performance clearance; assess each type separately.</x:v>
      </x:c>
      <x:c r="R12" s="7" t="str">
        <x:v>Identifier returned in 2026-10-27 cache; offset 0.2 NM from real-world point. Database presence only; scenery/runway uninspected.</x:v>
      </x:c>
      <x:c r="S12" s="15" t="n">
        <x:v>261.9</x:v>
      </x:c>
      <x:c r="T12" s="15" t="n">
        <x:v>383.5</x:v>
      </x:c>
      <x:c r="U12" s="2" t="n">
        <x:f>IF(S12="","",ROUNDUP(S12*1.10/'Aircraft and method'!C5*60+'Aircraft and method'!D5,0))</x:f>
        <x:v>201</x:v>
      </x:c>
      <x:c r="V12" s="2" t="n">
        <x:f>IF(S12="","",ROUNDUP(S12*1.10/'Aircraft and method'!C6*60+'Aircraft and method'!D6,0))</x:f>
        <x:v>122</x:v>
      </x:c>
      <x:c r="W12" s="2" t="n">
        <x:f>IF(S12="","",ROUNDUP(S12*1.10/'Aircraft and method'!C7*60+'Aircraft and method'!D7,0))</x:f>
        <x:v>109</x:v>
      </x:c>
      <x:c r="X12" s="2" t="n">
        <x:f>IF(S12="","",ROUNDUP(S12*1.10/'Aircraft and method'!C8*60+'Aircraft and method'!D8,0))</x:f>
        <x:v>122</x:v>
      </x:c>
      <x:c r="Y12" s="2" t="n">
        <x:f>IF(S12="","",ROUNDUP(S12*1.10/'Aircraft and method'!C9*60+'Aircraft and method'!D9,0))</x:f>
        <x:v>166</x:v>
      </x:c>
      <x:c r="Z12" s="2" t="n">
        <x:f>IF(S12="","",ROUNDUP(S12*1.10/'Aircraft and method'!C10*60+'Aircraft and method'!D10,0))</x:f>
        <x:v>223</x:v>
      </x:c>
      <x:c r="AA12" s="2" t="n">
        <x:f>IF(T12="","",ROUNDUP(T12*1.10/IF(T12&lt;60,170,'Aircraft and method'!C11)*60+IF(T12&lt;60,10,'Aircraft and method'!D11),0))</x:f>
        <x:v>131</x:v>
      </x:c>
      <x:c r="AB12" s="2" t="n">
        <x:f>IF(T12="","",ROUNDUP(T12*1.10/'Aircraft and method'!C12*60+'Aircraft and method'!D12,0))</x:f>
        <x:v>241</x:v>
      </x:c>
      <x:c r="AC12" s="7" t="str">
        <x:v>Eligible purpose</x:v>
      </x:c>
      <x:c r="AD12" s="2" t="n">
        <x:f>IF(Scoring!J12="","",Scoring!J12)</x:f>
        <x:v>76</x:v>
      </x:c>
      <x:c r="AE12" s="2" t="n">
        <x:f>Scoring!P12</x:f>
        <x:v>20</x:v>
      </x:c>
      <x:c r="AF12" s="7" t="str">
        <x:v>Eligible purpose</x:v>
      </x:c>
      <x:c r="AG12" s="2" t="n">
        <x:f>IF(Scoring!J70="","",Scoring!J70)</x:f>
        <x:v>67</x:v>
      </x:c>
      <x:c r="AH12" s="2" t="n">
        <x:f>Scoring!P70</x:f>
        <x:v>20</x:v>
      </x:c>
      <x:c r="AI12" s="7" t="str">
        <x:v>Ineligible: no evidenced purpose</x:v>
      </x:c>
      <x:c r="AJ12" s="2"/>
      <x:c r="AK12" s="2"/>
      <x:c r="AL12" s="7" t="str">
        <x:v>Ineligible: no evidenced purpose</x:v>
      </x:c>
      <x:c r="AM12" s="2"/>
      <x:c r="AN12" s="2"/>
      <x:c r="AO12" s="7" t="str">
        <x:v>Missionary</x:v>
      </x:c>
      <x:c r="AP12" s="2" t="n">
        <x:v>0.2</x:v>
      </x:c>
      <x:c r="AQ12" s="7" t="str">
        <x:v>https://nacso.org.na/wp-content/uploads/2025/06/Brochure-Nyae-Nyae-1.pdf</x:v>
      </x:c>
      <x:c r="AR12" s="7" t="str">
        <x:v>https://ourairports.com/airports/FYTK/</x:v>
      </x:c>
      <x:c r="AS12" s="7" t="str">
        <x:v>OurAirports snapshot 2026-10-29</x:v>
      </x:c>
      <x:c r="AT12" s="7" t="str">
        <x:v>Teacher, community liaison and supplies credible; medical evacuation equipment not established.</x:v>
      </x:c>
      <x:c r="AU12" s="7" t="str">
        <x:v>https://www.openstreetmap.org/?mlat=-19.584999&amp;mlon=20.452801#map=13/-19.584999/20.452801</x:v>
      </x:c>
      <x:c r="AV12" s="7" t="str">
        <x:v>Kalahari sandveld, pans and woodland</x:v>
      </x:c>
      <x:c r="AW12" s="7" t="str">
        <x:v>Published identifier; reconcile with simulator</x:v>
      </x:c>
      <x:c r="AX12" s="2" t="str">
        <x:v>2026-10-29</x:v>
      </x:c>
    </x:row>
    <x:row r="13" ht="54" customHeight="1">
      <x:c r="A13" s="2" t="str">
        <x:v>FYOE</x:v>
      </x:c>
      <x:c r="B13" s="7" t="str">
        <x:v>Omega Airport</x:v>
      </x:c>
      <x:c r="C13" s="7" t="str">
        <x:v>Missionary</x:v>
      </x:c>
      <x:c r="D13" s="2" t="str">
        <x:v>NA-KE</x:v>
      </x:c>
      <x:c r="E13" s="7" t="str">
        <x:v>Confirmed in MSFS 2024</x:v>
      </x:c>
      <x:c r="F13" s="7" t="str">
        <x:v>Missionary: Extended network</x:v>
      </x:c>
      <x:c r="G13" s="16" t="n">
        <x:v>-18.0303</x:v>
      </x:c>
      <x:c r="H13" s="16" t="n">
        <x:v>22.189699</x:v>
      </x:c>
      <x:c r="I13" s="15" t="n">
        <x:v>3346</x:v>
      </x:c>
      <x:c r="J13" s="15"/>
      <x:c r="K13" s="15"/>
      <x:c r="L13" s="2" t="str">
        <x:v>Unknown</x:v>
      </x:c>
      <x:c r="M13" s="2" t="str">
        <x:v>Unknown</x:v>
      </x:c>
      <x:c r="N13" s="7" t="str">
        <x:v>Runway dimensions, width, surface and orientation not established in this pass</x:v>
      </x:c>
      <x:c r="O13" s="7" t="str">
        <x:v>Omega clinic and settlement</x:v>
      </x:c>
      <x:c r="P13" s="7" t="str">
        <x:v>Missionary: Omega clinic and settlement — Clinic/school supplies and community personnel; proposed game work, not a claim of an existing aviation contract.</x:v>
      </x:c>
      <x:c r="Q13" s="7" t="str">
        <x:v>No aircraft approved by this research. Unknown/conflicting field data: hold performance clearance; assess each type separately.</x:v>
      </x:c>
      <x:c r="R13" s="7" t="str">
        <x:v>Identifier returned in 2026-10-27 cache; offset 0.0 NM from real-world point. Database presence only; scenery/runway uninspected.</x:v>
      </x:c>
      <x:c r="S13" s="15" t="n">
        <x:v>397.7</x:v>
      </x:c>
      <x:c r="T13" s="15" t="n">
        <x:v>517.8</x:v>
      </x:c>
      <x:c r="U13" s="2" t="n">
        <x:f>IF(S13="","",ROUNDUP(S13*1.10/'Aircraft and method'!C5*60+'Aircraft and method'!D5,0))</x:f>
        <x:v>300</x:v>
      </x:c>
      <x:c r="V13" s="2" t="n">
        <x:f>IF(S13="","",ROUNDUP(S13*1.10/'Aircraft and method'!C6*60+'Aircraft and method'!D6,0))</x:f>
        <x:v>180</x:v>
      </x:c>
      <x:c r="W13" s="2" t="n">
        <x:f>IF(S13="","",ROUNDUP(S13*1.10/'Aircraft and method'!C7*60+'Aircraft and method'!D7,0))</x:f>
        <x:v>160</x:v>
      </x:c>
      <x:c r="X13" s="2" t="n">
        <x:f>IF(S13="","",ROUNDUP(S13*1.10/'Aircraft and method'!C8*60+'Aircraft and method'!D8,0))</x:f>
        <x:v>180</x:v>
      </x:c>
      <x:c r="Y13" s="2" t="n">
        <x:f>IF(S13="","",ROUNDUP(S13*1.10/'Aircraft and method'!C9*60+'Aircraft and method'!D9,0))</x:f>
        <x:v>247</x:v>
      </x:c>
      <x:c r="Z13" s="2" t="n">
        <x:f>IF(S13="","",ROUNDUP(S13*1.10/'Aircraft and method'!C10*60+'Aircraft and method'!D10,0))</x:f>
        <x:v>335</x:v>
      </x:c>
      <x:c r="AA13" s="2" t="n">
        <x:f>IF(T13="","",ROUNDUP(T13*1.10/IF(T13&lt;60,170,'Aircraft and method'!C11)*60+IF(T13&lt;60,10,'Aircraft and method'!D11),0))</x:f>
        <x:v>171</x:v>
      </x:c>
      <x:c r="AB13" s="2" t="n">
        <x:f>IF(T13="","",ROUNDUP(T13*1.10/'Aircraft and method'!C12*60+'Aircraft and method'!D12,0))</x:f>
        <x:v>321</x:v>
      </x:c>
      <x:c r="AC13" s="7" t="str">
        <x:v>Eligible purpose</x:v>
      </x:c>
      <x:c r="AD13" s="2" t="n">
        <x:f>IF(Scoring!J13="","",Scoring!J13)</x:f>
        <x:v>67</x:v>
      </x:c>
      <x:c r="AE13" s="2" t="n">
        <x:f>Scoring!P13</x:f>
        <x:v>20</x:v>
      </x:c>
      <x:c r="AF13" s="7" t="str">
        <x:v>Ineligible: no evidenced purpose</x:v>
      </x:c>
      <x:c r="AG13" s="2"/>
      <x:c r="AH13" s="2"/>
      <x:c r="AI13" s="7" t="str">
        <x:v>Ineligible: no evidenced purpose</x:v>
      </x:c>
      <x:c r="AJ13" s="2"/>
      <x:c r="AK13" s="2"/>
      <x:c r="AL13" s="7" t="str">
        <x:v>Ineligible: no evidenced purpose</x:v>
      </x:c>
      <x:c r="AM13" s="2"/>
      <x:c r="AN13" s="2"/>
      <x:c r="AO13" s="7" t="str">
        <x:v>Missionary</x:v>
      </x:c>
      <x:c r="AP13" s="2" t="n">
        <x:v>0.01</x:v>
      </x:c>
      <x:c r="AQ13" s="7" t="str">
        <x:v>https://nrpa.gov.na/web/mhss/kavango-west</x:v>
      </x:c>
      <x:c r="AR13" s="7" t="str">
        <x:v>https://ourairports.com/airports/FYOE/</x:v>
      </x:c>
      <x:c r="AS13" s="7" t="str">
        <x:v>OurAirports snapshot 2026-10-29</x:v>
      </x:c>
      <x:c r="AT13" s="7" t="str">
        <x:v>Credible clinic endpoint but well beyond two-hour direct starter envelope; retain as extended research.</x:v>
      </x:c>
      <x:c r="AU13" s="7" t="str">
        <x:v>https://www.openstreetmap.org/?mlat=-18.030300&amp;mlon=22.189699#map=13/-18.030300/22.189699</x:v>
      </x:c>
      <x:c r="AV13" s="7" t="str">
        <x:v>Zambezi woodland and remote interior</x:v>
      </x:c>
      <x:c r="AW13" s="7" t="str">
        <x:v>Published identifier; reconcile with simulator</x:v>
      </x:c>
      <x:c r="AX13" s="2" t="str">
        <x:v>2026-10-29</x:v>
      </x:c>
    </x:row>
    <x:row r="14" ht="54" customHeight="1">
      <x:c r="A14" s="2" t="str">
        <x:v>FYNP</x:v>
      </x:c>
      <x:c r="B14" s="7" t="str">
        <x:v>Nepara clinic / Nkurenkuru health network</x:v>
      </x:c>
      <x:c r="C14" s="7" t="str">
        <x:v>Missionary</x:v>
      </x:c>
      <x:c r="D14" s="2" t="str">
        <x:v>Namibia offshore / unresolved</x:v>
      </x:c>
      <x:c r="E14" s="7" t="str">
        <x:v>Partially verified</x:v>
      </x:c>
      <x:c r="F14" s="7" t="str">
        <x:v>Missionary: Research hold</x:v>
      </x:c>
      <x:c r="G14" s="16" t="n">
        <x:v>-17.768</x:v>
      </x:c>
      <x:c r="H14" s="16" t="n">
        <x:v>18.452</x:v>
      </x:c>
      <x:c r="I14" s="15"/>
      <x:c r="J14" s="15"/>
      <x:c r="K14" s="15"/>
      <x:c r="L14" s="2" t="str">
        <x:v>Unknown</x:v>
      </x:c>
      <x:c r="M14" s="2" t="str">
        <x:v>Unknown</x:v>
      </x:c>
      <x:c r="N14" s="7" t="str">
        <x:v>Runway dimensions, width, surface and orientation not established in this pass</x:v>
      </x:c>
      <x:c r="O14" s="7" t="str">
        <x:v>Nepara clinic / Nkurenkuru health network</x:v>
      </x:c>
      <x:c r="P14" s="7" t="str">
        <x:v>Missionary: Nepara clinic / Nkurenkuru health network — Clinic/school supplies and community personnel; proposed game work, not a claim of an existing aviation contract.</x:v>
      </x:c>
      <x:c r="Q14" s="7" t="str">
        <x:v>No aircraft approved by this research. Unknown/conflicting field data: hold performance clearance; assess each type separately.</x:v>
      </x:c>
      <x:c r="R14" s="7" t="str">
        <x:v>Identifier returned in 2026-10-27 cache; offset 0.0 NM from real-world point. Database presence only; scenery/runway uninspected.</x:v>
      </x:c>
      <x:c r="S14" s="15" t="n">
        <x:v>300.5</x:v>
      </x:c>
      <x:c r="T14" s="15" t="n">
        <x:v>379.2</x:v>
      </x:c>
      <x:c r="U14" s="2" t="n">
        <x:f>IF(S14="","",ROUNDUP(S14*1.10/'Aircraft and method'!C5*60+'Aircraft and method'!D5,0))</x:f>
        <x:v>229</x:v>
      </x:c>
      <x:c r="V14" s="2" t="n">
        <x:f>IF(S14="","",ROUNDUP(S14*1.10/'Aircraft and method'!C6*60+'Aircraft and method'!D6,0))</x:f>
        <x:v>138</x:v>
      </x:c>
      <x:c r="W14" s="2" t="n">
        <x:f>IF(S14="","",ROUNDUP(S14*1.10/'Aircraft and method'!C7*60+'Aircraft and method'!D7,0))</x:f>
        <x:v>124</x:v>
      </x:c>
      <x:c r="X14" s="2" t="n">
        <x:f>IF(S14="","",ROUNDUP(S14*1.10/'Aircraft and method'!C8*60+'Aircraft and method'!D8,0))</x:f>
        <x:v>138</x:v>
      </x:c>
      <x:c r="Y14" s="2" t="n">
        <x:f>IF(S14="","",ROUNDUP(S14*1.10/'Aircraft and method'!C9*60+'Aircraft and method'!D9,0))</x:f>
        <x:v>189</x:v>
      </x:c>
      <x:c r="Z14" s="2" t="n">
        <x:f>IF(S14="","",ROUNDUP(S14*1.10/'Aircraft and method'!C10*60+'Aircraft and method'!D10,0))</x:f>
        <x:v>254</x:v>
      </x:c>
      <x:c r="AA14" s="2" t="n">
        <x:f>IF(T14="","",ROUNDUP(T14*1.10/IF(T14&lt;60,170,'Aircraft and method'!C11)*60+IF(T14&lt;60,10,'Aircraft and method'!D11),0))</x:f>
        <x:v>129</x:v>
      </x:c>
      <x:c r="AB14" s="2" t="n">
        <x:f>IF(T14="","",ROUNDUP(T14*1.10/'Aircraft and method'!C12*60+'Aircraft and method'!D12,0))</x:f>
        <x:v>238</x:v>
      </x:c>
      <x:c r="AC14" s="7" t="str">
        <x:v>Eligible purpose</x:v>
      </x:c>
      <x:c r="AD14" s="2" t="n">
        <x:f>IF(Scoring!J14="","",Scoring!J14)</x:f>
        <x:v>67</x:v>
      </x:c>
      <x:c r="AE14" s="2" t="n">
        <x:f>Scoring!P14</x:f>
        <x:v>18</x:v>
      </x:c>
      <x:c r="AF14" s="7" t="str">
        <x:v>Ineligible: no evidenced purpose</x:v>
      </x:c>
      <x:c r="AG14" s="2"/>
      <x:c r="AH14" s="2"/>
      <x:c r="AI14" s="7" t="str">
        <x:v>Ineligible: no evidenced purpose</x:v>
      </x:c>
      <x:c r="AJ14" s="2"/>
      <x:c r="AK14" s="2"/>
      <x:c r="AL14" s="7" t="str">
        <x:v>Ineligible: no evidenced purpose</x:v>
      </x:c>
      <x:c r="AM14" s="2"/>
      <x:c r="AN14" s="2"/>
      <x:c r="AO14" s="7" t="str">
        <x:v>Missionary</x:v>
      </x:c>
      <x:c r="AP14" s="2" t="n">
        <x:v>0.03</x:v>
      </x:c>
      <x:c r="AQ14" s="7" t="str">
        <x:v>https://nrpa.gov.na/web/mhss/kavango-west
https://gateway.x-plane.com/airports/FYNP/show</x:v>
      </x:c>
      <x:c r="AR14" s="7" t="str"/>
      <x:c r="AS14" s="7" t="str">
        <x:v>Historical X-Plane datum; NOT independent real-world airfield verification</x:v>
      </x:c>
      <x:c r="AT14" s="7" t="str">
        <x:v>Long Eros leg. Field absent in current OurAirports snapshot; X-Plane has a historical FYNP datum, not real-world or MSFS acceptance. Closure lead needs investigation; no contemporary runway proof.</x:v>
      </x:c>
      <x:c r="AU14" s="7" t="str">
        <x:v>https://www.openstreetmap.org/?mlat=-17.768000&amp;mlon=18.452000#map=13/-17.768000/18.452000</x:v>
      </x:c>
      <x:c r="AV14" s="7" t="str">
        <x:v>Kavango woodland and river region</x:v>
      </x:c>
      <x:c r="AW14" s="7" t="str">
        <x:v>Research label only; no invented ICAO</x:v>
      </x:c>
      <x:c r="AX14" s="2" t="str">
        <x:v>2026-10-29</x:v>
      </x:c>
    </x:row>
    <x:row r="15" ht="68" customHeight="1">
      <x:c r="A15" s="2" t="str">
        <x:v>FYRU</x:v>
      </x:c>
      <x:c r="B15" s="7" t="str">
        <x:v>Rundu Airport</x:v>
      </x:c>
      <x:c r="C15" s="7" t="str">
        <x:v>Missionary</x:v>
      </x:c>
      <x:c r="D15" s="2" t="str">
        <x:v>NA-KE</x:v>
      </x:c>
      <x:c r="E15" s="7" t="str">
        <x:v>Confirmed in MSFS 2024</x:v>
      </x:c>
      <x:c r="F15" s="7" t="str">
        <x:v>Missionary: Extended network</x:v>
      </x:c>
      <x:c r="G15" s="16" t="n">
        <x:v>-17.956499</x:v>
      </x:c>
      <x:c r="H15" s="16" t="n">
        <x:v>19.7194</x:v>
      </x:c>
      <x:c r="I15" s="15" t="n">
        <x:v>3627</x:v>
      </x:c>
      <x:c r="J15" s="15" t="n">
        <x:v>3354</x:v>
      </x:c>
      <x:c r="K15" s="15" t="n">
        <x:v>29.9</x:v>
      </x:c>
      <x:c r="L15" s="2" t="str">
        <x:v>ASP</x:v>
      </x:c>
      <x:c r="M15" s="2" t="str">
        <x:v>08/26</x:v>
      </x:c>
      <x:c r="N15" s="7" t="str">
        <x:v>3354 x 30 m; ASP; 08/26</x:v>
      </x:c>
      <x:c r="O15" s="7" t="str">
        <x:v>Rundu referral hospital and regional services</x:v>
      </x:c>
      <x:c r="P15" s="7" t="str">
        <x:v>Missionary: Rundu referral hospital and regional services — Clinic/school supplies and community personnel; proposed game work, not a claim of an existing aviation contract.</x:v>
      </x:c>
      <x:c r="Q15" s="7" t="str">
        <x:v>No aircraft approved by this research. Known paved runway: candidate for fleet-specific AFM/weight/density-altitude assessment.</x:v>
      </x:c>
      <x:c r="R15" s="7" t="str">
        <x:v>Identifier returned in 2026-10-27 cache; offset 0.1 NM from real-world point. Database presence only; scenery/runway uninspected.</x:v>
      </x:c>
      <x:c r="S15" s="15" t="n">
        <x:v>316.2</x:v>
      </x:c>
      <x:c r="T15" s="15" t="n">
        <x:v>415.1</x:v>
      </x:c>
      <x:c r="U15" s="2" t="n">
        <x:f>IF(S15="","",ROUNDUP(S15*1.10/'Aircraft and method'!C5*60+'Aircraft and method'!D5,0))</x:f>
        <x:v>240</x:v>
      </x:c>
      <x:c r="V15" s="2" t="n">
        <x:f>IF(S15="","",ROUNDUP(S15*1.10/'Aircraft and method'!C6*60+'Aircraft and method'!D6,0))</x:f>
        <x:v>145</x:v>
      </x:c>
      <x:c r="W15" s="2" t="n">
        <x:f>IF(S15="","",ROUNDUP(S15*1.10/'Aircraft and method'!C7*60+'Aircraft and method'!D7,0))</x:f>
        <x:v>130</x:v>
      </x:c>
      <x:c r="X15" s="2" t="n">
        <x:f>IF(S15="","",ROUNDUP(S15*1.10/'Aircraft and method'!C8*60+'Aircraft and method'!D8,0))</x:f>
        <x:v>145</x:v>
      </x:c>
      <x:c r="Y15" s="2" t="n">
        <x:f>IF(S15="","",ROUNDUP(S15*1.10/'Aircraft and method'!C9*60+'Aircraft and method'!D9,0))</x:f>
        <x:v>198</x:v>
      </x:c>
      <x:c r="Z15" s="2" t="n">
        <x:f>IF(S15="","",ROUNDUP(S15*1.10/'Aircraft and method'!C10*60+'Aircraft and method'!D10,0))</x:f>
        <x:v>267</x:v>
      </x:c>
      <x:c r="AA15" s="2" t="n">
        <x:f>IF(T15="","",ROUNDUP(T15*1.10/IF(T15&lt;60,170,'Aircraft and method'!C11)*60+IF(T15&lt;60,10,'Aircraft and method'!D11),0))</x:f>
        <x:v>140</x:v>
      </x:c>
      <x:c r="AB15" s="2" t="n">
        <x:f>IF(T15="","",ROUNDUP(T15*1.10/'Aircraft and method'!C12*60+'Aircraft and method'!D12,0))</x:f>
        <x:v>260</x:v>
      </x:c>
      <x:c r="AC15" s="7" t="str">
        <x:v>Eligible purpose</x:v>
      </x:c>
      <x:c r="AD15" s="2" t="n">
        <x:f>IF(Scoring!J15="","",Scoring!J15)</x:f>
        <x:v>73</x:v>
      </x:c>
      <x:c r="AE15" s="2" t="n">
        <x:f>Scoring!P15</x:f>
        <x:v>14</x:v>
      </x:c>
      <x:c r="AF15" s="7" t="str">
        <x:v>Ineligible: no evidenced purpose</x:v>
      </x:c>
      <x:c r="AG15" s="2"/>
      <x:c r="AH15" s="2"/>
      <x:c r="AI15" s="7" t="str">
        <x:v>Ineligible: no evidenced purpose</x:v>
      </x:c>
      <x:c r="AJ15" s="2"/>
      <x:c r="AK15" s="2"/>
      <x:c r="AL15" s="7" t="str">
        <x:v>Ineligible: no evidenced purpose</x:v>
      </x:c>
      <x:c r="AM15" s="2"/>
      <x:c r="AN15" s="2"/>
      <x:c r="AO15" s="7" t="str">
        <x:v>Missionary</x:v>
      </x:c>
      <x:c r="AP15" s="2" t="n">
        <x:v>0.07</x:v>
      </x:c>
      <x:c r="AQ15" s="7" t="str">
        <x:v>https://www.wch.gov.na/documents/146502/1029704/MHSS%2BAnnual%2BReport%2B2023-2024.pdf/6ef77bbc-d081-6295-32b8-6a2b759201db?download=true
https://nrpa.gov.na/web/mhss/kavango-west</x:v>
      </x:c>
      <x:c r="AR15" s="7" t="str">
        <x:v>https://ourairports.com/airports/FYRU/</x:v>
      </x:c>
      <x:c r="AS15" s="7" t="str">
        <x:v>OurAirports snapshot 2026-10-29</x:v>
      </x:c>
      <x:c r="AT15" s="7" t="str">
        <x:v>Referral hub rather than small village; extended C208 sector.</x:v>
      </x:c>
      <x:c r="AU15" s="7" t="str">
        <x:v>https://www.openstreetmap.org/?mlat=-17.956499&amp;mlon=19.719400#map=13/-17.956499/19.719400</x:v>
      </x:c>
      <x:c r="AV15" s="7" t="str">
        <x:v>Kavango River and woodland</x:v>
      </x:c>
      <x:c r="AW15" s="7" t="str">
        <x:v>Published identifier; reconcile with simulator</x:v>
      </x:c>
      <x:c r="AX15" s="2" t="str">
        <x:v>2026-10-29</x:v>
      </x:c>
    </x:row>
    <x:row r="16" ht="54" customHeight="1">
      <x:c r="A16" s="2" t="str">
        <x:v>FYEN</x:v>
      </x:c>
      <x:c r="B16" s="7" t="str">
        <x:v>Eenhana Airport</x:v>
      </x:c>
      <x:c r="C16" s="7" t="str">
        <x:v>Missionary</x:v>
      </x:c>
      <x:c r="D16" s="2" t="str">
        <x:v>NA-OW</x:v>
      </x:c>
      <x:c r="E16" s="7" t="str">
        <x:v>Confirmed in MSFS 2024</x:v>
      </x:c>
      <x:c r="F16" s="7" t="str">
        <x:v>Missionary: Extended network</x:v>
      </x:c>
      <x:c r="G16" s="16" t="n">
        <x:v>-17.483</x:v>
      </x:c>
      <x:c r="H16" s="16" t="n">
        <x:v>16.322001</x:v>
      </x:c>
      <x:c r="I16" s="15" t="n">
        <x:v>3660</x:v>
      </x:c>
      <x:c r="J16" s="15" t="n">
        <x:v>1748</x:v>
      </x:c>
      <x:c r="K16" s="15" t="n">
        <x:v>29.9</x:v>
      </x:c>
      <x:c r="L16" s="2" t="str">
        <x:v>ASP</x:v>
      </x:c>
      <x:c r="M16" s="2" t="str">
        <x:v>09/27</x:v>
      </x:c>
      <x:c r="N16" s="7" t="str">
        <x:v>1748 x 30 m; ASP; 09/27</x:v>
      </x:c>
      <x:c r="O16" s="7" t="str">
        <x:v>Eenhana district hospital and community services</x:v>
      </x:c>
      <x:c r="P16" s="7" t="str">
        <x:v>Missionary: Eenhana district hospital and community services — Clinic/school supplies and community personnel; proposed game work, not a claim of an existing aviation contract.</x:v>
      </x:c>
      <x:c r="Q16" s="7" t="str">
        <x:v>No aircraft approved by this research. Known paved runway: candidate for fleet-specific AFM/weight/density-altitude assessment.</x:v>
      </x:c>
      <x:c r="R16" s="7" t="str">
        <x:v>Identifier returned in 2026-10-27 cache; offset 0.0 NM from real-world point. Database presence only; scenery/runway uninspected.</x:v>
      </x:c>
      <x:c r="S16" s="15" t="n">
        <x:v>310.5</x:v>
      </x:c>
      <x:c r="T16" s="15" t="n">
        <x:v>343.3</x:v>
      </x:c>
      <x:c r="U16" s="2" t="n">
        <x:f>IF(S16="","",ROUNDUP(S16*1.10/'Aircraft and method'!C5*60+'Aircraft and method'!D5,0))</x:f>
        <x:v>236</x:v>
      </x:c>
      <x:c r="V16" s="2" t="n">
        <x:f>IF(S16="","",ROUNDUP(S16*1.10/'Aircraft and method'!C6*60+'Aircraft and method'!D6,0))</x:f>
        <x:v>143</x:v>
      </x:c>
      <x:c r="W16" s="2" t="n">
        <x:f>IF(S16="","",ROUNDUP(S16*1.10/'Aircraft and method'!C7*60+'Aircraft and method'!D7,0))</x:f>
        <x:v>128</x:v>
      </x:c>
      <x:c r="X16" s="2" t="n">
        <x:f>IF(S16="","",ROUNDUP(S16*1.10/'Aircraft and method'!C8*60+'Aircraft and method'!D8,0))</x:f>
        <x:v>143</x:v>
      </x:c>
      <x:c r="Y16" s="2" t="n">
        <x:f>IF(S16="","",ROUNDUP(S16*1.10/'Aircraft and method'!C9*60+'Aircraft and method'!D9,0))</x:f>
        <x:v>195</x:v>
      </x:c>
      <x:c r="Z16" s="2" t="n">
        <x:f>IF(S16="","",ROUNDUP(S16*1.10/'Aircraft and method'!C10*60+'Aircraft and method'!D10,0))</x:f>
        <x:v>263</x:v>
      </x:c>
      <x:c r="AA16" s="2" t="n">
        <x:f>IF(T16="","",ROUNDUP(T16*1.10/IF(T16&lt;60,170,'Aircraft and method'!C11)*60+IF(T16&lt;60,10,'Aircraft and method'!D11),0))</x:f>
        <x:v>118</x:v>
      </x:c>
      <x:c r="AB16" s="2" t="n">
        <x:f>IF(T16="","",ROUNDUP(T16*1.10/'Aircraft and method'!C12*60+'Aircraft and method'!D12,0))</x:f>
        <x:v>216</x:v>
      </x:c>
      <x:c r="AC16" s="7" t="str">
        <x:v>Eligible purpose</x:v>
      </x:c>
      <x:c r="AD16" s="2" t="n">
        <x:f>IF(Scoring!J16="","",Scoring!J16)</x:f>
        <x:v>68</x:v>
      </x:c>
      <x:c r="AE16" s="2" t="n">
        <x:f>Scoring!P16</x:f>
        <x:v>11</x:v>
      </x:c>
      <x:c r="AF16" s="7" t="str">
        <x:v>Ineligible: no evidenced purpose</x:v>
      </x:c>
      <x:c r="AG16" s="2"/>
      <x:c r="AH16" s="2"/>
      <x:c r="AI16" s="7" t="str">
        <x:v>Ineligible: no evidenced purpose</x:v>
      </x:c>
      <x:c r="AJ16" s="2"/>
      <x:c r="AK16" s="2"/>
      <x:c r="AL16" s="7" t="str">
        <x:v>Ineligible: no evidenced purpose</x:v>
      </x:c>
      <x:c r="AM16" s="2"/>
      <x:c r="AN16" s="2"/>
      <x:c r="AO16" s="7" t="str">
        <x:v>Missionary</x:v>
      </x:c>
      <x:c r="AP16" s="2" t="n">
        <x:v>0.01</x:v>
      </x:c>
      <x:c r="AQ16" s="7" t="str">
        <x:v>https://nrpa.gov.na/web/mhss/ohangwena-region
https://www.msyns.gov.na/contact</x:v>
      </x:c>
      <x:c r="AR16" s="7" t="str">
        <x:v>https://ourairports.com/airports/FYEN/</x:v>
      </x:c>
      <x:c r="AS16" s="7" t="str">
        <x:v>OurAirports snapshot 2026-10-29</x:v>
      </x:c>
      <x:c r="AT16" s="7" t="str">
        <x:v>Named hospital and community personnel/supplies; no claim of poor-road access from runway alone.</x:v>
      </x:c>
      <x:c r="AU16" s="7" t="str">
        <x:v>https://www.openstreetmap.org/?mlat=-17.483000&amp;mlon=16.322001#map=13/-17.483000/16.322001</x:v>
      </x:c>
      <x:c r="AV16" s="7" t="str">
        <x:v>Northern floodplain and settlement mosaic</x:v>
      </x:c>
      <x:c r="AW16" s="7" t="str">
        <x:v>Published identifier; reconcile with simulator</x:v>
      </x:c>
      <x:c r="AX16" s="2" t="str">
        <x:v>2026-10-29</x:v>
      </x:c>
    </x:row>
    <x:row r="17" ht="68" customHeight="1">
      <x:c r="A17" s="2" t="str">
        <x:v>NA-0171</x:v>
      </x:c>
      <x:c r="B17" s="7" t="str">
        <x:v>Outapi Airport</x:v>
      </x:c>
      <x:c r="C17" s="7" t="str">
        <x:v>Missionary</x:v>
      </x:c>
      <x:c r="D17" s="2" t="str">
        <x:v>NA-OS</x:v>
      </x:c>
      <x:c r="E17" s="7" t="str">
        <x:v>Confirmed real-world destination; MSFS status unverified</x:v>
      </x:c>
      <x:c r="F17" s="7" t="str">
        <x:v>Missionary: Extended network</x:v>
      </x:c>
      <x:c r="G17" s="16" t="n">
        <x:v>-17.574847</x:v>
      </x:c>
      <x:c r="H17" s="16" t="n">
        <x:v>15.007946</x:v>
      </x:c>
      <x:c r="I17" s="15"/>
      <x:c r="J17" s="15"/>
      <x:c r="K17" s="15"/>
      <x:c r="L17" s="2" t="str">
        <x:v>Unknown</x:v>
      </x:c>
      <x:c r="M17" s="2" t="str">
        <x:v>Unknown</x:v>
      </x:c>
      <x:c r="N17" s="7" t="str">
        <x:v>Runway dimensions, width, surface and orientation not established in this pass</x:v>
      </x:c>
      <x:c r="O17" s="7" t="str">
        <x:v>Outapi hospital and community services</x:v>
      </x:c>
      <x:c r="P17" s="7" t="str">
        <x:v>Missionary: Outapi hospital and community services — Clinic/school supplies and community personnel; proposed game work, not a claim of an existing aviation contract.</x:v>
      </x:c>
      <x:c r="Q17" s="7" t="str">
        <x:v>No aircraft approved by this research. Unknown/conflicting field data: hold performance clearance; assess each type separately.</x:v>
      </x:c>
      <x:c r="R17" s="7" t="str">
        <x:v>Not queried by this cache; absence cannot be inferred.</x:v>
      </x:c>
      <x:c r="S17" s="15" t="n">
        <x:v>323.8</x:v>
      </x:c>
      <x:c r="T17" s="15" t="n">
        <x:v>325.2</x:v>
      </x:c>
      <x:c r="U17" s="2" t="n">
        <x:f>IF(S17="","",ROUNDUP(S17*1.10/'Aircraft and method'!C5*60+'Aircraft and method'!D5,0))</x:f>
        <x:v>246</x:v>
      </x:c>
      <x:c r="V17" s="2" t="n">
        <x:f>IF(S17="","",ROUNDUP(S17*1.10/'Aircraft and method'!C6*60+'Aircraft and method'!D6,0))</x:f>
        <x:v>148</x:v>
      </x:c>
      <x:c r="W17" s="2" t="n">
        <x:f>IF(S17="","",ROUNDUP(S17*1.10/'Aircraft and method'!C7*60+'Aircraft and method'!D7,0))</x:f>
        <x:v>133</x:v>
      </x:c>
      <x:c r="X17" s="2" t="n">
        <x:f>IF(S17="","",ROUNDUP(S17*1.10/'Aircraft and method'!C8*60+'Aircraft and method'!D8,0))</x:f>
        <x:v>148</x:v>
      </x:c>
      <x:c r="Y17" s="2" t="n">
        <x:f>IF(S17="","",ROUNDUP(S17*1.10/'Aircraft and method'!C9*60+'Aircraft and method'!D9,0))</x:f>
        <x:v>203</x:v>
      </x:c>
      <x:c r="Z17" s="2" t="n">
        <x:f>IF(S17="","",ROUNDUP(S17*1.10/'Aircraft and method'!C10*60+'Aircraft and method'!D10,0))</x:f>
        <x:v>274</x:v>
      </x:c>
      <x:c r="AA17" s="2" t="n">
        <x:f>IF(T17="","",ROUNDUP(T17*1.10/IF(T17&lt;60,170,'Aircraft and method'!C11)*60+IF(T17&lt;60,10,'Aircraft and method'!D11),0))</x:f>
        <x:v>113</x:v>
      </x:c>
      <x:c r="AB17" s="2" t="n">
        <x:f>IF(T17="","",ROUNDUP(T17*1.10/'Aircraft and method'!C12*60+'Aircraft and method'!D12,0))</x:f>
        <x:v>206</x:v>
      </x:c>
      <x:c r="AC17" s="7" t="str">
        <x:v>Eligible purpose</x:v>
      </x:c>
      <x:c r="AD17" s="2" t="n">
        <x:f>IF(Scoring!J17="","",Scoring!J17)</x:f>
        <x:v>59</x:v>
      </x:c>
      <x:c r="AE17" s="2" t="n">
        <x:f>Scoring!P17</x:f>
        <x:v>14</x:v>
      </x:c>
      <x:c r="AF17" s="7" t="str">
        <x:v>Ineligible: no evidenced purpose</x:v>
      </x:c>
      <x:c r="AG17" s="2"/>
      <x:c r="AH17" s="2"/>
      <x:c r="AI17" s="7" t="str">
        <x:v>Ineligible: no evidenced purpose</x:v>
      </x:c>
      <x:c r="AJ17" s="2"/>
      <x:c r="AK17" s="2"/>
      <x:c r="AL17" s="7" t="str">
        <x:v>Ineligible: no evidenced purpose</x:v>
      </x:c>
      <x:c r="AM17" s="2"/>
      <x:c r="AN17" s="2"/>
      <x:c r="AO17" s="7" t="str">
        <x:v>Missionary</x:v>
      </x:c>
      <x:c r="AP17" s="2"/>
      <x:c r="AQ17" s="7" t="str">
        <x:v>https://www.wch.gov.na/documents/146502/1029704/MHSS%2BAnnual%2BReport%2B2023-2024.pdf/6ef77bbc-d081-6295-32b8-6a2b759201db?download=true
https://www.msyns.gov.na/contact</x:v>
      </x:c>
      <x:c r="AR17" s="7" t="str">
        <x:v>https://ourairports.com/airports/NA-0171/</x:v>
      </x:c>
      <x:c r="AS17" s="7" t="str">
        <x:v>OurAirports snapshot 2026-10-29</x:v>
      </x:c>
      <x:c r="AT17" s="7" t="str">
        <x:v>Hospital documented; field dimensions and simulator identity unknown; long Eros leg.</x:v>
      </x:c>
      <x:c r="AU17" s="7" t="str">
        <x:v>https://www.openstreetmap.org/?mlat=-17.574847&amp;mlon=15.007946#map=13/-17.574847/15.007946</x:v>
      </x:c>
      <x:c r="AV17" s="7" t="str">
        <x:v>Seasonal northern floodplain</x:v>
      </x:c>
      <x:c r="AW17" s="7" t="str">
        <x:v>OurAirports database key, not certified ICAO</x:v>
      </x:c>
      <x:c r="AX17" s="2" t="str">
        <x:v>2026-10-29</x:v>
      </x:c>
    </x:row>
    <x:row r="18" ht="54" customHeight="1">
      <x:c r="A18" s="2" t="str">
        <x:v>FYOH</x:v>
      </x:c>
      <x:c r="B18" s="7" t="str">
        <x:v>Okahao Airport</x:v>
      </x:c>
      <x:c r="C18" s="7" t="str">
        <x:v>Missionary</x:v>
      </x:c>
      <x:c r="D18" s="2" t="str">
        <x:v>NA-OS</x:v>
      </x:c>
      <x:c r="E18" s="7" t="str">
        <x:v>Confirmed in MSFS 2024</x:v>
      </x:c>
      <x:c r="F18" s="7" t="str">
        <x:v>Missionary: Extended network</x:v>
      </x:c>
      <x:c r="G18" s="16" t="n">
        <x:v>-17.881137</x:v>
      </x:c>
      <x:c r="H18" s="16" t="n">
        <x:v>15.076249</x:v>
      </x:c>
      <x:c r="I18" s="15"/>
      <x:c r="J18" s="15"/>
      <x:c r="K18" s="15"/>
      <x:c r="L18" s="2" t="str">
        <x:v>Unknown</x:v>
      </x:c>
      <x:c r="M18" s="2" t="str">
        <x:v>Unknown</x:v>
      </x:c>
      <x:c r="N18" s="7" t="str">
        <x:v>Runway dimensions, width, surface and orientation not established in this pass</x:v>
      </x:c>
      <x:c r="O18" s="7" t="str">
        <x:v>Okahao district hospital and youth skills training</x:v>
      </x:c>
      <x:c r="P18" s="7" t="str">
        <x:v>Missionary: Okahao district hospital and youth skills training — Clinic/school supplies and community personnel; proposed game work, not a claim of an existing aviation contract.</x:v>
      </x:c>
      <x:c r="Q18" s="7" t="str">
        <x:v>No aircraft approved by this research. Unknown/conflicting field data: hold performance clearance; assess each type separately.</x:v>
      </x:c>
      <x:c r="R18" s="7" t="str">
        <x:v>Identifier returned in 2026-10-27 cache; offset 0.0 NM from real-world point. Database presence only; scenery/runway uninspected.</x:v>
      </x:c>
      <x:c r="S18" s="15" t="n">
        <x:v>305.2</x:v>
      </x:c>
      <x:c r="T18" s="15" t="n">
        <x:v>307.1</x:v>
      </x:c>
      <x:c r="U18" s="2" t="n">
        <x:f>IF(S18="","",ROUNDUP(S18*1.10/'Aircraft and method'!C5*60+'Aircraft and method'!D5,0))</x:f>
        <x:v>232</x:v>
      </x:c>
      <x:c r="V18" s="2" t="n">
        <x:f>IF(S18="","",ROUNDUP(S18*1.10/'Aircraft and method'!C6*60+'Aircraft and method'!D6,0))</x:f>
        <x:v>140</x:v>
      </x:c>
      <x:c r="W18" s="2" t="n">
        <x:f>IF(S18="","",ROUNDUP(S18*1.10/'Aircraft and method'!C7*60+'Aircraft and method'!D7,0))</x:f>
        <x:v>126</x:v>
      </x:c>
      <x:c r="X18" s="2" t="n">
        <x:f>IF(S18="","",ROUNDUP(S18*1.10/'Aircraft and method'!C8*60+'Aircraft and method'!D8,0))</x:f>
        <x:v>140</x:v>
      </x:c>
      <x:c r="Y18" s="2" t="n">
        <x:f>IF(S18="","",ROUNDUP(S18*1.10/'Aircraft and method'!C9*60+'Aircraft and method'!D9,0))</x:f>
        <x:v>192</x:v>
      </x:c>
      <x:c r="Z18" s="2" t="n">
        <x:f>IF(S18="","",ROUNDUP(S18*1.10/'Aircraft and method'!C10*60+'Aircraft and method'!D10,0))</x:f>
        <x:v>258</x:v>
      </x:c>
      <x:c r="AA18" s="2" t="n">
        <x:f>IF(T18="","",ROUNDUP(T18*1.10/IF(T18&lt;60,170,'Aircraft and method'!C11)*60+IF(T18&lt;60,10,'Aircraft and method'!D11),0))</x:f>
        <x:v>108</x:v>
      </x:c>
      <x:c r="AB18" s="2" t="n">
        <x:f>IF(T18="","",ROUNDUP(T18*1.10/'Aircraft and method'!C12*60+'Aircraft and method'!D12,0))</x:f>
        <x:v>195</x:v>
      </x:c>
      <x:c r="AC18" s="7" t="str">
        <x:v>Eligible purpose</x:v>
      </x:c>
      <x:c r="AD18" s="2" t="n">
        <x:f>IF(Scoring!J18="","",Scoring!J18)</x:f>
        <x:v>59</x:v>
      </x:c>
      <x:c r="AE18" s="2" t="n">
        <x:f>Scoring!P18</x:f>
        <x:v>14</x:v>
      </x:c>
      <x:c r="AF18" s="7" t="str">
        <x:v>Ineligible: no evidenced purpose</x:v>
      </x:c>
      <x:c r="AG18" s="2"/>
      <x:c r="AH18" s="2"/>
      <x:c r="AI18" s="7" t="str">
        <x:v>Ineligible: no evidenced purpose</x:v>
      </x:c>
      <x:c r="AJ18" s="2"/>
      <x:c r="AK18" s="2"/>
      <x:c r="AL18" s="7" t="str">
        <x:v>Ineligible: no evidenced purpose</x:v>
      </x:c>
      <x:c r="AM18" s="2"/>
      <x:c r="AN18" s="2"/>
      <x:c r="AO18" s="7" t="str">
        <x:v>Missionary</x:v>
      </x:c>
      <x:c r="AP18" s="2" t="n">
        <x:v>0.03</x:v>
      </x:c>
      <x:c r="AQ18" s="7" t="str">
        <x:v>https://wch.gov.na/web/mhss/omusati-region
https://www.msyns.gov.na/contact</x:v>
      </x:c>
      <x:c r="AR18" s="7" t="str">
        <x:v>https://ourairports.com/airports/FYOH/</x:v>
      </x:c>
      <x:c r="AS18" s="7" t="str">
        <x:v>OurAirports snapshot 2026-10-29</x:v>
      </x:c>
      <x:c r="AT18" s="7" t="str">
        <x:v>Specific health/education purpose; runway condition/measurements unknown.</x:v>
      </x:c>
      <x:c r="AU18" s="7" t="str">
        <x:v>https://www.openstreetmap.org/?mlat=-17.881137&amp;mlon=15.076249#map=13/-17.881137/15.076249</x:v>
      </x:c>
      <x:c r="AV18" s="7" t="str">
        <x:v>Northern seasonal pans and villages</x:v>
      </x:c>
      <x:c r="AW18" s="7" t="str">
        <x:v>Published identifier; reconcile with simulator</x:v>
      </x:c>
      <x:c r="AX18" s="2" t="str">
        <x:v>2026-10-29</x:v>
      </x:c>
    </x:row>
    <x:row r="19" ht="54" customHeight="1">
      <x:c r="A19" s="2" t="str">
        <x:v>FYKJ</x:v>
      </x:c>
      <x:c r="B19" s="7" t="str">
        <x:v>Kamanjab Airport</x:v>
      </x:c>
      <x:c r="C19" s="7" t="str">
        <x:v>Missionary</x:v>
      </x:c>
      <x:c r="D19" s="2" t="str">
        <x:v>NA-KU</x:v>
      </x:c>
      <x:c r="E19" s="7" t="str">
        <x:v>Confirmed in MSFS 2024</x:v>
      </x:c>
      <x:c r="F19" s="7" t="str">
        <x:v>Missionary: Priority validation</x:v>
      </x:c>
      <x:c r="G19" s="16" t="n">
        <x:v>-19.520599</x:v>
      </x:c>
      <x:c r="H19" s="16" t="n">
        <x:v>14.8233</x:v>
      </x:c>
      <x:c r="I19" s="15" t="n">
        <x:v>4259</x:v>
      </x:c>
      <x:c r="J19" s="15"/>
      <x:c r="K19" s="15"/>
      <x:c r="L19" s="2" t="str">
        <x:v>Unknown</x:v>
      </x:c>
      <x:c r="M19" s="2" t="str">
        <x:v>Unknown</x:v>
      </x:c>
      <x:c r="N19" s="7" t="str">
        <x:v>Runway dimensions, width, surface and orientation not established in this pass</x:v>
      </x:c>
      <x:c r="O19" s="7" t="str">
        <x:v>Kamanjab health centre and schools</x:v>
      </x:c>
      <x:c r="P19" s="7" t="str">
        <x:v>Missionary: Kamanjab health centre and schools — Clinic/school supplies and community personnel; proposed game work, not a claim of an existing aviation contract.</x:v>
      </x:c>
      <x:c r="Q19" s="7" t="str">
        <x:v>No aircraft approved by this research. Unknown/conflicting field data: hold performance clearance; assess each type separately.</x:v>
      </x:c>
      <x:c r="R19" s="7" t="str">
        <x:v>Identifier returned in 2026-10-27 cache; offset 0.1 NM from real-world point. Database presence only; scenery/runway uninspected.</x:v>
      </x:c>
      <x:c r="S19" s="15" t="n">
        <x:v>224.2</x:v>
      </x:c>
      <x:c r="T19" s="15" t="n">
        <x:v>207.9</x:v>
      </x:c>
      <x:c r="U19" s="2" t="n">
        <x:f>IF(S19="","",ROUNDUP(S19*1.10/'Aircraft and method'!C5*60+'Aircraft and method'!D5,0))</x:f>
        <x:v>173</x:v>
      </x:c>
      <x:c r="V19" s="2" t="n">
        <x:f>IF(S19="","",ROUNDUP(S19*1.10/'Aircraft and method'!C6*60+'Aircraft and method'!D6,0))</x:f>
        <x:v>106</x:v>
      </x:c>
      <x:c r="W19" s="2" t="n">
        <x:f>IF(S19="","",ROUNDUP(S19*1.10/'Aircraft and method'!C7*60+'Aircraft and method'!D7,0))</x:f>
        <x:v>95</x:v>
      </x:c>
      <x:c r="X19" s="2" t="n">
        <x:f>IF(S19="","",ROUNDUP(S19*1.10/'Aircraft and method'!C8*60+'Aircraft and method'!D8,0))</x:f>
        <x:v>106</x:v>
      </x:c>
      <x:c r="Y19" s="2" t="n">
        <x:f>IF(S19="","",ROUNDUP(S19*1.10/'Aircraft and method'!C9*60+'Aircraft and method'!D9,0))</x:f>
        <x:v>143</x:v>
      </x:c>
      <x:c r="Z19" s="2" t="n">
        <x:f>IF(S19="","",ROUNDUP(S19*1.10/'Aircraft and method'!C10*60+'Aircraft and method'!D10,0))</x:f>
        <x:v>191</x:v>
      </x:c>
      <x:c r="AA19" s="2" t="n">
        <x:f>IF(T19="","",ROUNDUP(T19*1.10/IF(T19&lt;60,170,'Aircraft and method'!C11)*60+IF(T19&lt;60,10,'Aircraft and method'!D11),0))</x:f>
        <x:v>78</x:v>
      </x:c>
      <x:c r="AB19" s="2" t="n">
        <x:f>IF(T19="","",ROUNDUP(T19*1.10/'Aircraft and method'!C12*60+'Aircraft and method'!D12,0))</x:f>
        <x:v>135</x:v>
      </x:c>
      <x:c r="AC19" s="7" t="str">
        <x:v>Eligible purpose</x:v>
      </x:c>
      <x:c r="AD19" s="2" t="n">
        <x:f>IF(Scoring!J19="","",Scoring!J19)</x:f>
        <x:v>84</x:v>
      </x:c>
      <x:c r="AE19" s="2" t="n">
        <x:f>Scoring!P19</x:f>
        <x:v>18</x:v>
      </x:c>
      <x:c r="AF19" s="7" t="str">
        <x:v>Ineligible: no evidenced purpose</x:v>
      </x:c>
      <x:c r="AG19" s="2"/>
      <x:c r="AH19" s="2"/>
      <x:c r="AI19" s="7" t="str">
        <x:v>Ineligible: no evidenced purpose</x:v>
      </x:c>
      <x:c r="AJ19" s="2"/>
      <x:c r="AK19" s="2"/>
      <x:c r="AL19" s="7" t="str">
        <x:v>Ineligible: no evidenced purpose</x:v>
      </x:c>
      <x:c r="AM19" s="2"/>
      <x:c r="AN19" s="2"/>
      <x:c r="AO19" s="7" t="str">
        <x:v>Missionary</x:v>
      </x:c>
      <x:c r="AP19" s="2" t="n">
        <x:v>0.13</x:v>
      </x:c>
      <x:c r="AQ19" s="7" t="str">
        <x:v>https://www.wch.gov.na/web/mhss/kunene-region</x:v>
      </x:c>
      <x:c r="AR19" s="7" t="str">
        <x:v>https://ourairports.com/airports/FYKJ/</x:v>
      </x:c>
      <x:c r="AS19" s="7" t="str">
        <x:v>OurAirports snapshot 2026-10-29</x:v>
      </x:c>
      <x:c r="AT19" s="7" t="str">
        <x:v>Useful intermediate sector; runway data required before either type approval.</x:v>
      </x:c>
      <x:c r="AU19" s="7" t="str">
        <x:v>https://www.openstreetmap.org/?mlat=-19.520599&amp;mlon=14.823300#map=13/-19.520599/14.823300</x:v>
      </x:c>
      <x:c r="AV19" s="7" t="str">
        <x:v>Kunene transition, hills and savanna</x:v>
      </x:c>
      <x:c r="AW19" s="7" t="str">
        <x:v>Published identifier; reconcile with simulator</x:v>
      </x:c>
      <x:c r="AX19" s="2" t="str">
        <x:v>2026-10-29</x:v>
      </x:c>
    </x:row>
    <x:row r="20" ht="54" customHeight="1">
      <x:c r="A20" s="2" t="str">
        <x:v>FYOJ</x:v>
      </x:c>
      <x:c r="B20" s="7" t="str">
        <x:v>Outjo Airport</x:v>
      </x:c>
      <x:c r="C20" s="7" t="str">
        <x:v>Missionary</x:v>
      </x:c>
      <x:c r="D20" s="2" t="str">
        <x:v>NA-KU</x:v>
      </x:c>
      <x:c r="E20" s="7" t="str">
        <x:v>Confirmed in MSFS 2024</x:v>
      </x:c>
      <x:c r="F20" s="7" t="str">
        <x:v>Missionary: Priority validation</x:v>
      </x:c>
      <x:c r="G20" s="16" t="n">
        <x:v>-20.0753</x:v>
      </x:c>
      <x:c r="H20" s="16" t="n">
        <x:v>16.124701</x:v>
      </x:c>
      <x:c r="I20" s="15" t="n">
        <x:v>4334</x:v>
      </x:c>
      <x:c r="J20" s="15"/>
      <x:c r="K20" s="15"/>
      <x:c r="L20" s="2" t="str">
        <x:v>Unknown</x:v>
      </x:c>
      <x:c r="M20" s="2" t="str">
        <x:v>Unknown</x:v>
      </x:c>
      <x:c r="N20" s="7" t="str">
        <x:v>Runway dimensions, width, surface and orientation not established in this pass</x:v>
      </x:c>
      <x:c r="O20" s="7" t="str">
        <x:v>Outjo hospital and clinic</x:v>
      </x:c>
      <x:c r="P20" s="7" t="str">
        <x:v>Missionary: Outjo hospital and clinic — Clinic/school supplies and community personnel; proposed game work, not a claim of an existing aviation contract.</x:v>
      </x:c>
      <x:c r="Q20" s="7" t="str">
        <x:v>No aircraft approved by this research. Unknown/conflicting field data: hold performance clearance; assess each type separately.</x:v>
      </x:c>
      <x:c r="R20" s="7" t="str">
        <x:v>Identifier returned in 2026-10-27 cache; offset 0.2 NM from real-world point. Database presence only; scenery/runway uninspected.</x:v>
      </x:c>
      <x:c r="S20" s="15" t="n">
        <x:v>161</x:v>
      </x:c>
      <x:c r="T20" s="15" t="n">
        <x:v>193</x:v>
      </x:c>
      <x:c r="U20" s="2" t="n">
        <x:f>IF(S20="","",ROUNDUP(S20*1.10/'Aircraft and method'!C5*60+'Aircraft and method'!D5,0))</x:f>
        <x:v>127</x:v>
      </x:c>
      <x:c r="V20" s="2" t="n">
        <x:f>IF(S20="","",ROUNDUP(S20*1.10/'Aircraft and method'!C6*60+'Aircraft and method'!D6,0))</x:f>
        <x:v>79</x:v>
      </x:c>
      <x:c r="W20" s="2" t="n">
        <x:f>IF(S20="","",ROUNDUP(S20*1.10/'Aircraft and method'!C7*60+'Aircraft and method'!D7,0))</x:f>
        <x:v>71</x:v>
      </x:c>
      <x:c r="X20" s="2" t="n">
        <x:f>IF(S20="","",ROUNDUP(S20*1.10/'Aircraft and method'!C8*60+'Aircraft and method'!D8,0))</x:f>
        <x:v>79</x:v>
      </x:c>
      <x:c r="Y20" s="2" t="n">
        <x:f>IF(S20="","",ROUNDUP(S20*1.10/'Aircraft and method'!C9*60+'Aircraft and method'!D9,0))</x:f>
        <x:v>105</x:v>
      </x:c>
      <x:c r="Z20" s="2" t="n">
        <x:f>IF(S20="","",ROUNDUP(S20*1.10/'Aircraft and method'!C10*60+'Aircraft and method'!D10,0))</x:f>
        <x:v>139</x:v>
      </x:c>
      <x:c r="AA20" s="2" t="n">
        <x:f>IF(T20="","",ROUNDUP(T20*1.10/IF(T20&lt;60,170,'Aircraft and method'!C11)*60+IF(T20&lt;60,10,'Aircraft and method'!D11),0))</x:f>
        <x:v>73</x:v>
      </x:c>
      <x:c r="AB20" s="2" t="n">
        <x:f>IF(T20="","",ROUNDUP(T20*1.10/'Aircraft and method'!C12*60+'Aircraft and method'!D12,0))</x:f>
        <x:v>126</x:v>
      </x:c>
      <x:c r="AC20" s="7" t="str">
        <x:v>Eligible purpose</x:v>
      </x:c>
      <x:c r="AD20" s="2" t="n">
        <x:f>IF(Scoring!J20="","",Scoring!J20)</x:f>
        <x:v>76</x:v>
      </x:c>
      <x:c r="AE20" s="2" t="n">
        <x:f>Scoring!P20</x:f>
        <x:v>14</x:v>
      </x:c>
      <x:c r="AF20" s="7" t="str">
        <x:v>Ineligible: no evidenced purpose</x:v>
      </x:c>
      <x:c r="AG20" s="2"/>
      <x:c r="AH20" s="2"/>
      <x:c r="AI20" s="7" t="str">
        <x:v>Ineligible: no evidenced purpose</x:v>
      </x:c>
      <x:c r="AJ20" s="2"/>
      <x:c r="AK20" s="2"/>
      <x:c r="AL20" s="7" t="str">
        <x:v>Ineligible: no evidenced purpose</x:v>
      </x:c>
      <x:c r="AM20" s="2"/>
      <x:c r="AN20" s="2"/>
      <x:c r="AO20" s="7" t="str">
        <x:v>Missionary</x:v>
      </x:c>
      <x:c r="AP20" s="2" t="n">
        <x:v>0.21</x:v>
      </x:c>
      <x:c r="AQ20" s="7" t="str">
        <x:v>https://www.wch.gov.na/web/mhss/kunene-region</x:v>
      </x:c>
      <x:c r="AR20" s="7" t="str">
        <x:v>https://ourairports.com/airports/FYOJ/</x:v>
      </x:c>
      <x:c r="AS20" s="7" t="str">
        <x:v>OurAirports snapshot 2026-10-29</x:v>
      </x:c>
      <x:c r="AT20" s="7" t="str">
        <x:v>Regional outreach/referral hub; paved-road accessibility reduces remoteness.</x:v>
      </x:c>
      <x:c r="AU20" s="7" t="str">
        <x:v>https://www.openstreetmap.org/?mlat=-20.075300&amp;mlon=16.124701#map=13/-20.075300/16.124701</x:v>
      </x:c>
      <x:c r="AV20" s="7" t="str">
        <x:v>Bushveld and low hills</x:v>
      </x:c>
      <x:c r="AW20" s="7" t="str">
        <x:v>Published identifier; reconcile with simulator</x:v>
      </x:c>
      <x:c r="AX20" s="2" t="str">
        <x:v>2026-10-29</x:v>
      </x:c>
    </x:row>
    <x:row r="21" ht="54" customHeight="1">
      <x:c r="A21" s="2" t="str">
        <x:v>FYOS</x:v>
      </x:c>
      <x:c r="B21" s="7" t="str">
        <x:v>Oshakati Airport</x:v>
      </x:c>
      <x:c r="C21" s="7" t="str">
        <x:v>Missionary</x:v>
      </x:c>
      <x:c r="D21" s="2" t="str">
        <x:v>NA-ON</x:v>
      </x:c>
      <x:c r="E21" s="7" t="str">
        <x:v>Confirmed in MSFS 2024</x:v>
      </x:c>
      <x:c r="F21" s="7" t="str">
        <x:v>Missionary: Extended network</x:v>
      </x:c>
      <x:c r="G21" s="16" t="n">
        <x:v>-17.797</x:v>
      </x:c>
      <x:c r="H21" s="16" t="n">
        <x:v>15.6993</x:v>
      </x:c>
      <x:c r="I21" s="15" t="n">
        <x:v>3616</x:v>
      </x:c>
      <x:c r="J21" s="15" t="n">
        <x:v>1499.9</x:v>
      </x:c>
      <x:c r="K21" s="15" t="n">
        <x:v>25</x:v>
      </x:c>
      <x:c r="L21" s="2" t="str">
        <x:v>Asphalt</x:v>
      </x:c>
      <x:c r="M21" s="2" t="str">
        <x:v>17/35</x:v>
      </x:c>
      <x:c r="N21" s="7" t="str">
        <x:v>1500 x 25 m; Asphalt; 17/35</x:v>
      </x:c>
      <x:c r="O21" s="7" t="str">
        <x:v>Oshakati intermediate hospital</x:v>
      </x:c>
      <x:c r="P21" s="7" t="str">
        <x:v>Missionary: Oshakati intermediate hospital — Clinic/school supplies and community personnel; proposed game work, not a claim of an existing aviation contract.</x:v>
      </x:c>
      <x:c r="Q21" s="7" t="str">
        <x:v>No aircraft approved by this research. Known paved runway: candidate for fleet-specific AFM/weight/density-altitude assessment.</x:v>
      </x:c>
      <x:c r="R21" s="7" t="str">
        <x:v>Identifier returned in 2026-10-27 cache; offset 0.0 NM from real-world point. Database presence only; scenery/runway uninspected.</x:v>
      </x:c>
      <x:c r="S21" s="15" t="n">
        <x:v>298.9</x:v>
      </x:c>
      <x:c r="T21" s="15" t="n">
        <x:v>316.8</x:v>
      </x:c>
      <x:c r="U21" s="2" t="n">
        <x:f>IF(S21="","",ROUNDUP(S21*1.10/'Aircraft and method'!C5*60+'Aircraft and method'!D5,0))</x:f>
        <x:v>228</x:v>
      </x:c>
      <x:c r="V21" s="2" t="n">
        <x:f>IF(S21="","",ROUNDUP(S21*1.10/'Aircraft and method'!C6*60+'Aircraft and method'!D6,0))</x:f>
        <x:v>138</x:v>
      </x:c>
      <x:c r="W21" s="2" t="n">
        <x:f>IF(S21="","",ROUNDUP(S21*1.10/'Aircraft and method'!C7*60+'Aircraft and method'!D7,0))</x:f>
        <x:v>123</x:v>
      </x:c>
      <x:c r="X21" s="2" t="n">
        <x:f>IF(S21="","",ROUNDUP(S21*1.10/'Aircraft and method'!C8*60+'Aircraft and method'!D8,0))</x:f>
        <x:v>138</x:v>
      </x:c>
      <x:c r="Y21" s="2" t="n">
        <x:f>IF(S21="","",ROUNDUP(S21*1.10/'Aircraft and method'!C9*60+'Aircraft and method'!D9,0))</x:f>
        <x:v>188</x:v>
      </x:c>
      <x:c r="Z21" s="2" t="n">
        <x:f>IF(S21="","",ROUNDUP(S21*1.10/'Aircraft and method'!C10*60+'Aircraft and method'!D10,0))</x:f>
        <x:v>253</x:v>
      </x:c>
      <x:c r="AA21" s="2" t="n">
        <x:f>IF(T21="","",ROUNDUP(T21*1.10/IF(T21&lt;60,170,'Aircraft and method'!C11)*60+IF(T21&lt;60,10,'Aircraft and method'!D11),0))</x:f>
        <x:v>111</x:v>
      </x:c>
      <x:c r="AB21" s="2" t="n">
        <x:f>IF(T21="","",ROUNDUP(T21*1.10/'Aircraft and method'!C12*60+'Aircraft and method'!D12,0))</x:f>
        <x:v>201</x:v>
      </x:c>
      <x:c r="AC21" s="7" t="str">
        <x:v>Eligible purpose</x:v>
      </x:c>
      <x:c r="AD21" s="2" t="n">
        <x:f>IF(Scoring!J21="","",Scoring!J21)</x:f>
        <x:v>73</x:v>
      </x:c>
      <x:c r="AE21" s="2" t="n">
        <x:f>Scoring!P21</x:f>
        <x:v>11</x:v>
      </x:c>
      <x:c r="AF21" s="7" t="str">
        <x:v>Ineligible: no evidenced purpose</x:v>
      </x:c>
      <x:c r="AG21" s="2"/>
      <x:c r="AH21" s="2"/>
      <x:c r="AI21" s="7" t="str">
        <x:v>Ineligible: no evidenced purpose</x:v>
      </x:c>
      <x:c r="AJ21" s="2"/>
      <x:c r="AK21" s="2"/>
      <x:c r="AL21" s="7" t="str">
        <x:v>Ineligible: no evidenced purpose</x:v>
      </x:c>
      <x:c r="AM21" s="2"/>
      <x:c r="AN21" s="2"/>
      <x:c r="AO21" s="7" t="str">
        <x:v>Missionary</x:v>
      </x:c>
      <x:c r="AP21" s="2" t="n">
        <x:v>0.01</x:v>
      </x:c>
      <x:c r="AQ21" s="7" t="str">
        <x:v>https://www.wch.gov.na/documents/146502/1029704/MHSS%2BAnnual%2BReport%2B2023-2024.pdf/6ef77bbc-d081-6295-32b8-6a2b759201db?download=true</x:v>
      </x:c>
      <x:c r="AR21" s="7" t="str">
        <x:v>https://ourairports.com/airports/FYOS/</x:v>
      </x:c>
      <x:c r="AS21" s="7" t="str">
        <x:v>OurAirports snapshot 2026-10-29</x:v>
      </x:c>
      <x:c r="AT21" s="7" t="str">
        <x:v>Referral destination, not isolated village; direct Eros leg exceeds target on slower type.</x:v>
      </x:c>
      <x:c r="AU21" s="7" t="str">
        <x:v>https://www.openstreetmap.org/?mlat=-17.797000&amp;mlon=15.699300#map=13/-17.797000/15.699300</x:v>
      </x:c>
      <x:c r="AV21" s="7" t="str">
        <x:v>Northern floodplain and urban service hub</x:v>
      </x:c>
      <x:c r="AW21" s="7" t="str">
        <x:v>Published identifier; reconcile with simulator</x:v>
      </x:c>
      <x:c r="AX21" s="2" t="str">
        <x:v>2026-10-29</x:v>
      </x:c>
    </x:row>
    <x:row r="22" ht="54" customHeight="1">
      <x:c r="A22" s="2" t="str">
        <x:v>FYAM</x:v>
      </x:c>
      <x:c r="B22" s="7" t="str">
        <x:v>Aminuis Airstrip</x:v>
      </x:c>
      <x:c r="C22" s="7" t="str">
        <x:v>Missionary</x:v>
      </x:c>
      <x:c r="D22" s="2" t="str">
        <x:v>NA-OH</x:v>
      </x:c>
      <x:c r="E22" s="7" t="str">
        <x:v>Confirmed real-world destination; MSFS status unverified</x:v>
      </x:c>
      <x:c r="F22" s="7" t="str">
        <x:v>Missionary: Priority validation</x:v>
      </x:c>
      <x:c r="G22" s="16" t="n">
        <x:v>-23.6558</x:v>
      </x:c>
      <x:c r="H22" s="16" t="n">
        <x:v>19.3517</x:v>
      </x:c>
      <x:c r="I22" s="15" t="n">
        <x:v>4012</x:v>
      </x:c>
      <x:c r="J22" s="15"/>
      <x:c r="K22" s="15"/>
      <x:c r="L22" s="2" t="str">
        <x:v>Unknown</x:v>
      </x:c>
      <x:c r="M22" s="2" t="str">
        <x:v>Unknown</x:v>
      </x:c>
      <x:c r="N22" s="7" t="str">
        <x:v>Runway dimensions, width, surface and orientation not established in this pass</x:v>
      </x:c>
      <x:c r="O22" s="7" t="str">
        <x:v>Aminuis clinic, schools and rural settlement</x:v>
      </x:c>
      <x:c r="P22" s="7" t="str">
        <x:v>Missionary: Aminuis clinic, schools and rural settlement — Clinic/school supplies and community personnel; proposed game work, not a claim of an existing aviation contract.</x:v>
      </x:c>
      <x:c r="Q22" s="7" t="str">
        <x:v>No aircraft approved by this research. Unknown/conflicting field data: hold performance clearance; assess each type separately.</x:v>
      </x:c>
      <x:c r="R22" s="7" t="str">
        <x:v>Not queried by this cache; absence cannot be inferred.</x:v>
      </x:c>
      <x:c r="S22" s="15" t="n">
        <x:v>140.5</x:v>
      </x:c>
      <x:c r="T22" s="15" t="n">
        <x:v>262.6</x:v>
      </x:c>
      <x:c r="U22" s="2" t="n">
        <x:f>IF(S22="","",ROUNDUP(S22*1.10/'Aircraft and method'!C5*60+'Aircraft and method'!D5,0))</x:f>
        <x:v>112</x:v>
      </x:c>
      <x:c r="V22" s="2" t="n">
        <x:f>IF(S22="","",ROUNDUP(S22*1.10/'Aircraft and method'!C6*60+'Aircraft and method'!D6,0))</x:f>
        <x:v>70</x:v>
      </x:c>
      <x:c r="W22" s="2" t="n">
        <x:f>IF(S22="","",ROUNDUP(S22*1.10/'Aircraft and method'!C7*60+'Aircraft and method'!D7,0))</x:f>
        <x:v>63</x:v>
      </x:c>
      <x:c r="X22" s="2" t="n">
        <x:f>IF(S22="","",ROUNDUP(S22*1.10/'Aircraft and method'!C8*60+'Aircraft and method'!D8,0))</x:f>
        <x:v>70</x:v>
      </x:c>
      <x:c r="Y22" s="2" t="n">
        <x:f>IF(S22="","",ROUNDUP(S22*1.10/'Aircraft and method'!C9*60+'Aircraft and method'!D9,0))</x:f>
        <x:v>93</x:v>
      </x:c>
      <x:c r="Z22" s="2" t="n">
        <x:f>IF(S22="","",ROUNDUP(S22*1.10/'Aircraft and method'!C10*60+'Aircraft and method'!D10,0))</x:f>
        <x:v>122</x:v>
      </x:c>
      <x:c r="AA22" s="2" t="n">
        <x:f>IF(T22="","",ROUNDUP(T22*1.10/IF(T22&lt;60,170,'Aircraft and method'!C11)*60+IF(T22&lt;60,10,'Aircraft and method'!D11),0))</x:f>
        <x:v>94</x:v>
      </x:c>
      <x:c r="AB22" s="2" t="n">
        <x:f>IF(T22="","",ROUNDUP(T22*1.10/'Aircraft and method'!C12*60+'Aircraft and method'!D12,0))</x:f>
        <x:v>168</x:v>
      </x:c>
      <x:c r="AC22" s="7" t="str">
        <x:v>Eligible purpose</x:v>
      </x:c>
      <x:c r="AD22" s="2" t="n">
        <x:f>IF(Scoring!J22="","",Scoring!J22)</x:f>
        <x:v>88</x:v>
      </x:c>
      <x:c r="AE22" s="2" t="n">
        <x:f>Scoring!P22</x:f>
        <x:v>18</x:v>
      </x:c>
      <x:c r="AF22" s="7" t="str">
        <x:v>Ineligible: no evidenced purpose</x:v>
      </x:c>
      <x:c r="AG22" s="2"/>
      <x:c r="AH22" s="2"/>
      <x:c r="AI22" s="7" t="str">
        <x:v>Ineligible: no evidenced purpose</x:v>
      </x:c>
      <x:c r="AJ22" s="2"/>
      <x:c r="AK22" s="2"/>
      <x:c r="AL22" s="7" t="str">
        <x:v>Ineligible: no evidenced purpose</x:v>
      </x:c>
      <x:c r="AM22" s="2"/>
      <x:c r="AN22" s="2"/>
      <x:c r="AO22" s="7" t="str"/>
      <x:c r="AP22" s="2"/>
      <x:c r="AQ22" s="7" t="str">
        <x:v>https://www.omahekerc.gov.na/aminuis-settlement1</x:v>
      </x:c>
      <x:c r="AR22" s="7" t="str">
        <x:v>https://ourairports.com/airports/FYAM/</x:v>
      </x:c>
      <x:c r="AS22" s="7" t="str">
        <x:v>OurAirports snapshot 2026-10-29</x:v>
      </x:c>
      <x:c r="AT22" s="7" t="str">
        <x:v>High-value closer candidate: named services and partly gravel road connection. OSM clinic is about 1.3 NM from field; ground transfer inferred.</x:v>
      </x:c>
      <x:c r="AU22" s="7" t="str">
        <x:v>https://www.openstreetmap.org/?mlat=-23.655800&amp;mlon=19.351700#map=13/-23.655800/19.351700</x:v>
      </x:c>
      <x:c r="AV22" s="7" t="str">
        <x:v>Omaheke Kalahari rural plateau</x:v>
      </x:c>
      <x:c r="AW22" s="7" t="str">
        <x:v>Published identifier; reconcile with simulator</x:v>
      </x:c>
      <x:c r="AX22" s="2" t="str">
        <x:v>2026-10-29</x:v>
      </x:c>
    </x:row>
    <x:row r="23" ht="54" customHeight="1">
      <x:c r="A23" s="2" t="str">
        <x:v>NA-0114</x:v>
      </x:c>
      <x:c r="B23" s="7" t="str">
        <x:v>Leonardville Airport</x:v>
      </x:c>
      <x:c r="C23" s="7" t="str">
        <x:v>Missionary</x:v>
      </x:c>
      <x:c r="D23" s="2" t="str">
        <x:v>NA-OH</x:v>
      </x:c>
      <x:c r="E23" s="7" t="str">
        <x:v>Confirmed real-world destination; MSFS status unverified</x:v>
      </x:c>
      <x:c r="F23" s="7" t="str">
        <x:v>Missionary: Priority validation</x:v>
      </x:c>
      <x:c r="G23" s="16" t="n">
        <x:v>-23.51502</x:v>
      </x:c>
      <x:c r="H23" s="16" t="n">
        <x:v>18.789507</x:v>
      </x:c>
      <x:c r="I23" s="15" t="n">
        <x:v>4166</x:v>
      </x:c>
      <x:c r="J23" s="15"/>
      <x:c r="K23" s="15"/>
      <x:c r="L23" s="2" t="str">
        <x:v>Unknown</x:v>
      </x:c>
      <x:c r="M23" s="2" t="str">
        <x:v>Unknown</x:v>
      </x:c>
      <x:c r="N23" s="7" t="str">
        <x:v>Runway dimensions, width, surface and orientation not established in this pass</x:v>
      </x:c>
      <x:c r="O23" s="7" t="str">
        <x:v>Leonardville clinic, primary and secondary schools</x:v>
      </x:c>
      <x:c r="P23" s="7" t="str">
        <x:v>Missionary: Leonardville clinic, primary and secondary schools — Clinic/school supplies and community personnel; proposed game work, not a claim of an existing aviation contract.</x:v>
      </x:c>
      <x:c r="Q23" s="7" t="str">
        <x:v>No aircraft approved by this research. Unknown/conflicting field data: hold performance clearance; assess each type separately.</x:v>
      </x:c>
      <x:c r="R23" s="7" t="str">
        <x:v>Not queried by this cache; absence cannot be inferred.</x:v>
      </x:c>
      <x:c r="S23" s="15" t="n">
        <x:v>109.2</x:v>
      </x:c>
      <x:c r="T23" s="15" t="n">
        <x:v>230.9</x:v>
      </x:c>
      <x:c r="U23" s="2" t="n">
        <x:f>IF(S23="","",ROUNDUP(S23*1.10/'Aircraft and method'!C5*60+'Aircraft and method'!D5,0))</x:f>
        <x:v>89</x:v>
      </x:c>
      <x:c r="V23" s="2" t="n">
        <x:f>IF(S23="","",ROUNDUP(S23*1.10/'Aircraft and method'!C6*60+'Aircraft and method'!D6,0))</x:f>
        <x:v>57</x:v>
      </x:c>
      <x:c r="W23" s="2" t="n">
        <x:f>IF(S23="","",ROUNDUP(S23*1.10/'Aircraft and method'!C7*60+'Aircraft and method'!D7,0))</x:f>
        <x:v>52</x:v>
      </x:c>
      <x:c r="X23" s="2" t="n">
        <x:f>IF(S23="","",ROUNDUP(S23*1.10/'Aircraft and method'!C8*60+'Aircraft and method'!D8,0))</x:f>
        <x:v>57</x:v>
      </x:c>
      <x:c r="Y23" s="2" t="n">
        <x:f>IF(S23="","",ROUNDUP(S23*1.10/'Aircraft and method'!C9*60+'Aircraft and method'!D9,0))</x:f>
        <x:v>74</x:v>
      </x:c>
      <x:c r="Z23" s="2" t="n">
        <x:f>IF(S23="","",ROUNDUP(S23*1.10/'Aircraft and method'!C10*60+'Aircraft and method'!D10,0))</x:f>
        <x:v>97</x:v>
      </x:c>
      <x:c r="AA23" s="2" t="n">
        <x:f>IF(T23="","",ROUNDUP(T23*1.10/IF(T23&lt;60,170,'Aircraft and method'!C11)*60+IF(T23&lt;60,10,'Aircraft and method'!D11),0))</x:f>
        <x:v>85</x:v>
      </x:c>
      <x:c r="AB23" s="2" t="n">
        <x:f>IF(T23="","",ROUNDUP(T23*1.10/'Aircraft and method'!C12*60+'Aircraft and method'!D12,0))</x:f>
        <x:v>149</x:v>
      </x:c>
      <x:c r="AC23" s="7" t="str">
        <x:v>Eligible purpose</x:v>
      </x:c>
      <x:c r="AD23" s="2" t="n">
        <x:f>IF(Scoring!J23="","",Scoring!J23)</x:f>
        <x:v>88</x:v>
      </x:c>
      <x:c r="AE23" s="2" t="n">
        <x:f>Scoring!P23</x:f>
        <x:v>17</x:v>
      </x:c>
      <x:c r="AF23" s="7" t="str">
        <x:v>Ineligible: no evidenced purpose</x:v>
      </x:c>
      <x:c r="AG23" s="2"/>
      <x:c r="AH23" s="2"/>
      <x:c r="AI23" s="7" t="str">
        <x:v>Ineligible: no evidenced purpose</x:v>
      </x:c>
      <x:c r="AJ23" s="2"/>
      <x:c r="AK23" s="2"/>
      <x:c r="AL23" s="7" t="str">
        <x:v>Ineligible: no evidenced purpose</x:v>
      </x:c>
      <x:c r="AM23" s="2"/>
      <x:c r="AN23" s="2"/>
      <x:c r="AO23" s="7" t="str"/>
      <x:c r="AP23" s="2"/>
      <x:c r="AQ23" s="7" t="str">
        <x:v>https://omahekerc.gov.na/leonardville</x:v>
      </x:c>
      <x:c r="AR23" s="7" t="str">
        <x:v>https://ourairports.com/airports/NA-0114/</x:v>
      </x:c>
      <x:c r="AS23" s="7" t="str">
        <x:v>OurAirports snapshot 2026-10-29</x:v>
      </x:c>
      <x:c r="AT23" s="7" t="str">
        <x:v>Strong shorter-route candidate with actual community services; no confirmed simulator identifier.</x:v>
      </x:c>
      <x:c r="AU23" s="7" t="str">
        <x:v>https://www.openstreetmap.org/?mlat=-23.515020&amp;mlon=18.789507#map=13/-23.515020/18.789507</x:v>
      </x:c>
      <x:c r="AV23" s="7" t="str">
        <x:v>Omaheke rural plateau</x:v>
      </x:c>
      <x:c r="AW23" s="7" t="str">
        <x:v>OurAirports database key, not certified ICAO</x:v>
      </x:c>
      <x:c r="AX23" s="2" t="str">
        <x:v>2026-10-29</x:v>
      </x:c>
    </x:row>
    <x:row r="24" ht="68" customHeight="1">
      <x:c r="A24" s="2" t="str">
        <x:v>NA-0014</x:v>
      </x:c>
      <x:c r="B24" s="7" t="str">
        <x:v>Dordabis Carpet Airport</x:v>
      </x:c>
      <x:c r="C24" s="7" t="str">
        <x:v>Missionary</x:v>
      </x:c>
      <x:c r="D24" s="2" t="str">
        <x:v>NA-KH</x:v>
      </x:c>
      <x:c r="E24" s="7" t="str">
        <x:v>Confirmed real-world destination; MSFS status unverified</x:v>
      </x:c>
      <x:c r="F24" s="7" t="str">
        <x:v>Missionary: Priority validation</x:v>
      </x:c>
      <x:c r="G24" s="16" t="n">
        <x:v>-22.95439910888672</x:v>
      </x:c>
      <x:c r="H24" s="16" t="n">
        <x:v>17.639699935913086</x:v>
      </x:c>
      <x:c r="I24" s="15" t="n">
        <x:v>4970</x:v>
      </x:c>
      <x:c r="J24" s="15"/>
      <x:c r="K24" s="15"/>
      <x:c r="L24" s="2" t="str">
        <x:v>Unknown</x:v>
      </x:c>
      <x:c r="M24" s="2" t="str">
        <x:v>Unknown</x:v>
      </x:c>
      <x:c r="N24" s="7" t="str">
        <x:v>Runway dimensions, width, surface and orientation not established in this pass</x:v>
      </x:c>
      <x:c r="O24" s="7" t="str">
        <x:v>Dordabis clinic and community service area</x:v>
      </x:c>
      <x:c r="P24" s="7" t="str">
        <x:v>Missionary: Dordabis clinic and community service area — Clinic/school supplies and community personnel; proposed game work, not a claim of an existing aviation contract.</x:v>
      </x:c>
      <x:c r="Q24" s="7" t="str">
        <x:v>No aircraft approved by this research. Unknown/conflicting field data: hold performance clearance; assess each type separately.</x:v>
      </x:c>
      <x:c r="R24" s="7" t="str">
        <x:v>Not queried by this cache; absence cannot be inferred.</x:v>
      </x:c>
      <x:c r="S24" s="15" t="n">
        <x:v>37.5</x:v>
      </x:c>
      <x:c r="T24" s="15" t="n">
        <x:v>165.5</x:v>
      </x:c>
      <x:c r="U24" s="2" t="n">
        <x:f>IF(S24="","",ROUNDUP(S24*1.10/'Aircraft and method'!C5*60+'Aircraft and method'!D5,0))</x:f>
        <x:v>36</x:v>
      </x:c>
      <x:c r="V24" s="2" t="n">
        <x:f>IF(S24="","",ROUNDUP(S24*1.10/'Aircraft and method'!C6*60+'Aircraft and method'!D6,0))</x:f>
        <x:v>26</x:v>
      </x:c>
      <x:c r="W24" s="2" t="n">
        <x:f>IF(S24="","",ROUNDUP(S24*1.10/'Aircraft and method'!C7*60+'Aircraft and method'!D7,0))</x:f>
        <x:v>25</x:v>
      </x:c>
      <x:c r="X24" s="2" t="n">
        <x:f>IF(S24="","",ROUNDUP(S24*1.10/'Aircraft and method'!C8*60+'Aircraft and method'!D8,0))</x:f>
        <x:v>26</x:v>
      </x:c>
      <x:c r="Y24" s="2" t="n">
        <x:f>IF(S24="","",ROUNDUP(S24*1.10/'Aircraft and method'!C9*60+'Aircraft and method'!D9,0))</x:f>
        <x:v>31</x:v>
      </x:c>
      <x:c r="Z24" s="2" t="n">
        <x:f>IF(S24="","",ROUNDUP(S24*1.10/'Aircraft and method'!C10*60+'Aircraft and method'!D10,0))</x:f>
        <x:v>37</x:v>
      </x:c>
      <x:c r="AA24" s="2" t="n">
        <x:f>IF(T24="","",ROUNDUP(T24*1.10/IF(T24&lt;60,170,'Aircraft and method'!C11)*60+IF(T24&lt;60,10,'Aircraft and method'!D11),0))</x:f>
        <x:v>65</x:v>
      </x:c>
      <x:c r="AB24" s="2" t="n">
        <x:f>IF(T24="","",ROUNDUP(T24*1.10/'Aircraft and method'!C12*60+'Aircraft and method'!D12,0))</x:f>
        <x:v>110</x:v>
      </x:c>
      <x:c r="AC24" s="7" t="str">
        <x:v>Eligible purpose</x:v>
      </x:c>
      <x:c r="AD24" s="2" t="n">
        <x:f>IF(Scoring!J24="","",Scoring!J24)</x:f>
        <x:v>83</x:v>
      </x:c>
      <x:c r="AE24" s="2" t="n">
        <x:f>Scoring!P24</x:f>
        <x:v>19</x:v>
      </x:c>
      <x:c r="AF24" s="7" t="str">
        <x:v>Ineligible: no evidenced purpose</x:v>
      </x:c>
      <x:c r="AG24" s="2"/>
      <x:c r="AH24" s="2"/>
      <x:c r="AI24" s="7" t="str">
        <x:v>Ineligible: no evidenced purpose</x:v>
      </x:c>
      <x:c r="AJ24" s="2"/>
      <x:c r="AK24" s="2"/>
      <x:c r="AL24" s="7" t="str">
        <x:v>Ineligible: no evidenced purpose</x:v>
      </x:c>
      <x:c r="AM24" s="2"/>
      <x:c r="AN24" s="2"/>
      <x:c r="AO24" s="7" t="str"/>
      <x:c r="AP24" s="2"/>
      <x:c r="AQ24" s="7" t="str">
        <x:v>https://mhss.gov.na/documents/146502/1709166/Status%2BReport.pdf/f9e14364-0307-a4ab-980f-1f57351077f2?download=true
https://eia.meft.gov.na/screening/7159_scoping_report_with_appendices_combined.pdf</x:v>
      </x:c>
      <x:c r="AR24" s="7" t="str">
        <x:v>https://ourairports.com/airports/NA-0014/</x:v>
      </x:c>
      <x:c r="AS24" s="7" t="str">
        <x:v>OurAirports snapshot 2026-10-29</x:v>
      </x:c>
      <x:c r="AT24" s="7" t="str">
        <x:v>Closer Eros opportunity: named clinic and community training programme. Private Carpet field access and usable runway unknown; facility exists but no real aviation contract is asserted.</x:v>
      </x:c>
      <x:c r="AU24" s="7" t="str">
        <x:v>https://www.openstreetmap.org/?mlat=-22.954399&amp;mlon=17.639700#map=13/-22.954399/17.639700</x:v>
      </x:c>
      <x:c r="AV24" s="7" t="str">
        <x:v>Khomas rural hills and farmland</x:v>
      </x:c>
      <x:c r="AW24" s="7" t="str">
        <x:v>OurAirports database key, not certified ICAO</x:v>
      </x:c>
      <x:c r="AX24" s="2" t="str">
        <x:v>2026-10-29</x:v>
      </x:c>
    </x:row>
    <x:row r="25" ht="54" customHeight="1">
      <x:c r="A25" s="2" t="str">
        <x:v>FYGB</x:v>
      </x:c>
      <x:c r="B25" s="7" t="str">
        <x:v>Gobabis Airport</x:v>
      </x:c>
      <x:c r="C25" s="7" t="str">
        <x:v>Missionary</x:v>
      </x:c>
      <x:c r="D25" s="2" t="str">
        <x:v>NA-OH</x:v>
      </x:c>
      <x:c r="E25" s="7" t="str">
        <x:v>Confirmed real-world destination; MSFS status unverified</x:v>
      </x:c>
      <x:c r="F25" s="7" t="str">
        <x:v>Missionary: Priority validation</x:v>
      </x:c>
      <x:c r="G25" s="16" t="n">
        <x:v>-22.5044</x:v>
      </x:c>
      <x:c r="H25" s="16" t="n">
        <x:v>18.973101</x:v>
      </x:c>
      <x:c r="I25" s="15" t="n">
        <x:v>4731</x:v>
      </x:c>
      <x:c r="J25" s="15"/>
      <x:c r="K25" s="15"/>
      <x:c r="L25" s="2" t="str">
        <x:v>Unknown</x:v>
      </x:c>
      <x:c r="M25" s="2" t="str">
        <x:v>Unknown</x:v>
      </x:c>
      <x:c r="N25" s="7" t="str">
        <x:v>Runway dimensions, width, surface and orientation not established in this pass</x:v>
      </x:c>
      <x:c r="O25" s="7" t="str">
        <x:v>Gobabis district hospital / Omaheke referral network</x:v>
      </x:c>
      <x:c r="P25" s="7" t="str">
        <x:v>Missionary: Gobabis district hospital / Omaheke referral network — Clinic/school supplies and community personnel; proposed game work, not a claim of an existing aviation contract.</x:v>
      </x:c>
      <x:c r="Q25" s="7" t="str">
        <x:v>No aircraft approved by this research. Unknown/conflicting field data: hold performance clearance; assess each type separately.</x:v>
      </x:c>
      <x:c r="R25" s="7" t="str">
        <x:v>Not queried by this cache; absence cannot be inferred.</x:v>
      </x:c>
      <x:c r="S25" s="15" t="n">
        <x:v>105.2</x:v>
      </x:c>
      <x:c r="T25" s="15" t="n">
        <x:v>241.3</x:v>
      </x:c>
      <x:c r="U25" s="2" t="n">
        <x:f>IF(S25="","",ROUNDUP(S25*1.10/'Aircraft and method'!C5*60+'Aircraft and method'!D5,0))</x:f>
        <x:v>86</x:v>
      </x:c>
      <x:c r="V25" s="2" t="n">
        <x:f>IF(S25="","",ROUNDUP(S25*1.10/'Aircraft and method'!C6*60+'Aircraft and method'!D6,0))</x:f>
        <x:v>55</x:v>
      </x:c>
      <x:c r="W25" s="2" t="n">
        <x:f>IF(S25="","",ROUNDUP(S25*1.10/'Aircraft and method'!C7*60+'Aircraft and method'!D7,0))</x:f>
        <x:v>50</x:v>
      </x:c>
      <x:c r="X25" s="2" t="n">
        <x:f>IF(S25="","",ROUNDUP(S25*1.10/'Aircraft and method'!C8*60+'Aircraft and method'!D8,0))</x:f>
        <x:v>55</x:v>
      </x:c>
      <x:c r="Y25" s="2" t="n">
        <x:f>IF(S25="","",ROUNDUP(S25*1.10/'Aircraft and method'!C9*60+'Aircraft and method'!D9,0))</x:f>
        <x:v>72</x:v>
      </x:c>
      <x:c r="Z25" s="2" t="n">
        <x:f>IF(S25="","",ROUNDUP(S25*1.10/'Aircraft and method'!C10*60+'Aircraft and method'!D10,0))</x:f>
        <x:v>93</x:v>
      </x:c>
      <x:c r="AA25" s="2" t="n">
        <x:f>IF(T25="","",ROUNDUP(T25*1.10/IF(T25&lt;60,170,'Aircraft and method'!C11)*60+IF(T25&lt;60,10,'Aircraft and method'!D11),0))</x:f>
        <x:v>88</x:v>
      </x:c>
      <x:c r="AB25" s="2" t="n">
        <x:f>IF(T25="","",ROUNDUP(T25*1.10/'Aircraft and method'!C12*60+'Aircraft and method'!D12,0))</x:f>
        <x:v>155</x:v>
      </x:c>
      <x:c r="AC25" s="7" t="str">
        <x:v>Eligible purpose</x:v>
      </x:c>
      <x:c r="AD25" s="2" t="n">
        <x:f>IF(Scoring!J25="","",Scoring!J25)</x:f>
        <x:v>80</x:v>
      </x:c>
      <x:c r="AE25" s="2" t="n">
        <x:f>Scoring!P25</x:f>
        <x:v>14</x:v>
      </x:c>
      <x:c r="AF25" s="7" t="str">
        <x:v>Ineligible: no evidenced purpose</x:v>
      </x:c>
      <x:c r="AG25" s="2"/>
      <x:c r="AH25" s="2"/>
      <x:c r="AI25" s="7" t="str">
        <x:v>Ineligible: no evidenced purpose</x:v>
      </x:c>
      <x:c r="AJ25" s="2"/>
      <x:c r="AK25" s="2"/>
      <x:c r="AL25" s="7" t="str">
        <x:v>Ineligible: no evidenced purpose</x:v>
      </x:c>
      <x:c r="AM25" s="2"/>
      <x:c r="AN25" s="2"/>
      <x:c r="AO25" s="7" t="str"/>
      <x:c r="AP25" s="2"/>
      <x:c r="AQ25" s="7" t="str">
        <x:v>https://wch.gov.na/web/mhss/omaheke-region</x:v>
      </x:c>
      <x:c r="AR25" s="7" t="str">
        <x:v>https://ourairports.com/airports/FYGB/</x:v>
      </x:c>
      <x:c r="AS25" s="7" t="str">
        <x:v>OurAirports snapshot 2026-10-29</x:v>
      </x:c>
      <x:c r="AT25" s="7" t="str">
        <x:v>Hospital/clinic staff and urgent supplies credible; established road access means this is a referral hub, not a road-isolated bush community.</x:v>
      </x:c>
      <x:c r="AU25" s="7" t="str">
        <x:v>https://www.openstreetmap.org/?mlat=-22.504400&amp;mlon=18.973101#map=13/-22.504400/18.973101</x:v>
      </x:c>
      <x:c r="AV25" s="7" t="str">
        <x:v>Omaheke plateau and rural service hub</x:v>
      </x:c>
      <x:c r="AW25" s="7" t="str">
        <x:v>Published identifier; reconcile with simulator</x:v>
      </x:c>
      <x:c r="AX25" s="2" t="str">
        <x:v>2026-10-29</x:v>
      </x:c>
    </x:row>
    <x:row r="26" ht="54" customHeight="1">
      <x:c r="A26" s="2" t="str">
        <x:v>FYAR</x:v>
      </x:c>
      <x:c r="B26" s="7" t="str">
        <x:v>Arandis Airport</x:v>
      </x:c>
      <x:c r="C26" s="7" t="str">
        <x:v>Industrial</x:v>
      </x:c>
      <x:c r="D26" s="2" t="str">
        <x:v>NA-ER</x:v>
      </x:c>
      <x:c r="E26" s="7" t="str">
        <x:v>Confirmed in MSFS 2024</x:v>
      </x:c>
      <x:c r="F26" s="7" t="str">
        <x:v>Industrial: Priority validation; Offshore: Reject Offshore association</x:v>
      </x:c>
      <x:c r="G26" s="16" t="n">
        <x:v>-22.461875</x:v>
      </x:c>
      <x:c r="H26" s="16" t="n">
        <x:v>14.979322</x:v>
      </x:c>
      <x:c r="I26" s="15" t="n">
        <x:v>1905</x:v>
      </x:c>
      <x:c r="J26" s="15" t="n">
        <x:v>1920.2</x:v>
      </x:c>
      <x:c r="K26" s="15" t="n">
        <x:v>20.1</x:v>
      </x:c>
      <x:c r="L26" s="2" t="str">
        <x:v>ASP</x:v>
      </x:c>
      <x:c r="M26" s="2" t="str">
        <x:v>10/28</x:v>
      </x:c>
      <x:c r="N26" s="7" t="str">
        <x:v>1920 x 20 m; ASP; 10/28</x:v>
      </x:c>
      <x:c r="O26" s="7" t="str">
        <x:v>Arandis / Rössing uranium mine</x:v>
      </x:c>
      <x:c r="P26" s="7" t="str">
        <x:v>Industrial: Arandis / Rössing uranium mine — Urgent parts, tools, samples and specialists; aircraft-scale consignments only.
Offshore: Arandis / Rössing uranium mine — No evidenced Offshore-specific service requirement in this pass. Industrial membership at Arandis remains valid.</x:v>
      </x:c>
      <x:c r="Q26" s="7" t="str">
        <x:v>No aircraft approved by this research. Known paved runway: candidate for fleet-specific AFM/weight/density-altitude assessment.</x:v>
      </x:c>
      <x:c r="R26" s="7" t="str">
        <x:v>Identifier returned in 2026-10-27 cache; offset 0.4 NM from real-world point. Database presence only; scenery/runway uninspected.</x:v>
      </x:c>
      <x:c r="S26" s="15" t="n">
        <x:v>116.8</x:v>
      </x:c>
      <x:c r="T26" s="15" t="n">
        <x:v>36.2</x:v>
      </x:c>
      <x:c r="U26" s="2" t="n">
        <x:f>IF(S26="","",ROUNDUP(S26*1.10/'Aircraft and method'!C5*60+'Aircraft and method'!D5,0))</x:f>
        <x:v>94</x:v>
      </x:c>
      <x:c r="V26" s="2" t="n">
        <x:f>IF(S26="","",ROUNDUP(S26*1.10/'Aircraft and method'!C6*60+'Aircraft and method'!D6,0))</x:f>
        <x:v>60</x:v>
      </x:c>
      <x:c r="W26" s="2" t="n">
        <x:f>IF(S26="","",ROUNDUP(S26*1.10/'Aircraft and method'!C7*60+'Aircraft and method'!D7,0))</x:f>
        <x:v>55</x:v>
      </x:c>
      <x:c r="X26" s="2" t="n">
        <x:f>IF(S26="","",ROUNDUP(S26*1.10/'Aircraft and method'!C8*60+'Aircraft and method'!D8,0))</x:f>
        <x:v>60</x:v>
      </x:c>
      <x:c r="Y26" s="2" t="n">
        <x:f>IF(S26="","",ROUNDUP(S26*1.10/'Aircraft and method'!C9*60+'Aircraft and method'!D9,0))</x:f>
        <x:v>79</x:v>
      </x:c>
      <x:c r="Z26" s="2" t="n">
        <x:f>IF(S26="","",ROUNDUP(S26*1.10/'Aircraft and method'!C10*60+'Aircraft and method'!D10,0))</x:f>
        <x:v>103</x:v>
      </x:c>
      <x:c r="AA26" s="2" t="n">
        <x:f>IF(T26="","",ROUNDUP(T26*1.10/IF(T26&lt;60,170,'Aircraft and method'!C11)*60+IF(T26&lt;60,10,'Aircraft and method'!D11),0))</x:f>
        <x:v>25</x:v>
      </x:c>
      <x:c r="AB26" s="2" t="n">
        <x:f>IF(T26="","",ROUNDUP(T26*1.10/'Aircraft and method'!C12*60+'Aircraft and method'!D12,0))</x:f>
        <x:v>32</x:v>
      </x:c>
      <x:c r="AC26" s="7" t="str">
        <x:v>Ineligible: no evidenced purpose</x:v>
      </x:c>
      <x:c r="AD26" s="2"/>
      <x:c r="AE26" s="2"/>
      <x:c r="AF26" s="7" t="str">
        <x:v>Ineligible: no evidenced purpose</x:v>
      </x:c>
      <x:c r="AG26" s="2"/>
      <x:c r="AH26" s="2"/>
      <x:c r="AI26" s="7" t="str">
        <x:v>Eligible purpose</x:v>
      </x:c>
      <x:c r="AJ26" s="2" t="n">
        <x:f>IF(Scoring!J26="","",Scoring!J26)</x:f>
        <x:v>96</x:v>
      </x:c>
      <x:c r="AK26" s="2" t="n">
        <x:f>Scoring!P26</x:f>
        <x:v>16</x:v>
      </x:c>
      <x:c r="AL26" s="7" t="str">
        <x:v>Ineligible purpose</x:v>
      </x:c>
      <x:c r="AM26" s="2" t="str">
        <x:f>IF(Scoring!J68="","",Scoring!J68)</x:f>
      </x:c>
      <x:c r="AN26" s="2" t="n">
        <x:f>Scoring!P68</x:f>
        <x:v>15</x:v>
      </x:c>
      <x:c r="AO26" s="7" t="str">
        <x:v>Industrial; Offshore</x:v>
      </x:c>
      <x:c r="AP26" s="2" t="n">
        <x:v>0.36</x:v>
      </x:c>
      <x:c r="AQ26" s="7" t="str">
        <x:v>https://www.rossing.com/</x:v>
      </x:c>
      <x:c r="AR26" s="7" t="str">
        <x:v>https://ourairports.com/airports/FYAR/</x:v>
      </x:c>
      <x:c r="AS26" s="7" t="str">
        <x:v>OurAirports snapshot 2026-10-29</x:v>
      </x:c>
      <x:c r="AT26" s="7" t="str">
        <x:v>Retain existing accepted airport and prototype economy role; road transfer to mine. No radioactive cargo proposed.</x:v>
      </x:c>
      <x:c r="AU26" s="7" t="str">
        <x:v>https://www.openstreetmap.org/?mlat=-22.461875&amp;mlon=14.979322#map=13/-22.461875/14.979322</x:v>
      </x:c>
      <x:c r="AV26" s="7" t="str">
        <x:v>Namib gravel plains, escarpment and mine country</x:v>
      </x:c>
      <x:c r="AW26" s="7" t="str">
        <x:v>Published identifier; reconcile with simulator</x:v>
      </x:c>
      <x:c r="AX26" s="2" t="str">
        <x:v>2026-10-29</x:v>
      </x:c>
    </x:row>
    <x:row r="27" ht="54" customHeight="1">
      <x:c r="A27" s="2" t="str">
        <x:v>FYUS</x:v>
      </x:c>
      <x:c r="B27" s="7" t="str">
        <x:v>Uis Mine Airport</x:v>
      </x:c>
      <x:c r="C27" s="7" t="str">
        <x:v>Industrial</x:v>
      </x:c>
      <x:c r="D27" s="2" t="str">
        <x:v>NA-ER</x:v>
      </x:c>
      <x:c r="E27" s="7" t="str">
        <x:v>Confirmed in MSFS 2024</x:v>
      </x:c>
      <x:c r="F27" s="7" t="str">
        <x:v>Industrial: Priority validation</x:v>
      </x:c>
      <x:c r="G27" s="16" t="n">
        <x:v>-21.230032</x:v>
      </x:c>
      <x:c r="H27" s="16" t="n">
        <x:v>14.866888</x:v>
      </x:c>
      <x:c r="I27" s="15" t="n">
        <x:v>2644</x:v>
      </x:c>
      <x:c r="J27" s="15"/>
      <x:c r="K27" s="15"/>
      <x:c r="L27" s="2" t="str">
        <x:v>Unknown</x:v>
      </x:c>
      <x:c r="M27" s="2" t="str">
        <x:v>Unknown</x:v>
      </x:c>
      <x:c r="N27" s="7" t="str">
        <x:v>Runway dimensions, width, surface and orientation not established in this pass</x:v>
      </x:c>
      <x:c r="O27" s="7" t="str">
        <x:v>Uis tin mine / Andrada</x:v>
      </x:c>
      <x:c r="P27" s="7" t="str">
        <x:v>Industrial: Uis tin mine / Andrada — Urgent parts, tools, samples and specialists; aircraft-scale consignments only.</x:v>
      </x:c>
      <x:c r="Q27" s="7" t="str">
        <x:v>No aircraft approved by this research. Unknown/conflicting field data: hold performance clearance; assess each type separately.</x:v>
      </x:c>
      <x:c r="R27" s="7" t="str">
        <x:v>Identifier returned in 2026-10-27 cache; offset 0.0 NM from real-world point. Database presence only; scenery/runway uninspected.</x:v>
      </x:c>
      <x:c r="S27" s="15" t="n">
        <x:v>148.3</x:v>
      </x:c>
      <x:c r="T27" s="15" t="n">
        <x:v>105.8</x:v>
      </x:c>
      <x:c r="U27" s="2" t="n">
        <x:f>IF(S27="","",ROUNDUP(S27*1.10/'Aircraft and method'!C5*60+'Aircraft and method'!D5,0))</x:f>
        <x:v>117</x:v>
      </x:c>
      <x:c r="V27" s="2" t="n">
        <x:f>IF(S27="","",ROUNDUP(S27*1.10/'Aircraft and method'!C6*60+'Aircraft and method'!D6,0))</x:f>
        <x:v>74</x:v>
      </x:c>
      <x:c r="W27" s="2" t="n">
        <x:f>IF(S27="","",ROUNDUP(S27*1.10/'Aircraft and method'!C7*60+'Aircraft and method'!D7,0))</x:f>
        <x:v>66</x:v>
      </x:c>
      <x:c r="X27" s="2" t="n">
        <x:f>IF(S27="","",ROUNDUP(S27*1.10/'Aircraft and method'!C8*60+'Aircraft and method'!D8,0))</x:f>
        <x:v>74</x:v>
      </x:c>
      <x:c r="Y27" s="2" t="n">
        <x:f>IF(S27="","",ROUNDUP(S27*1.10/'Aircraft and method'!C9*60+'Aircraft and method'!D9,0))</x:f>
        <x:v>97</x:v>
      </x:c>
      <x:c r="Z27" s="2" t="n">
        <x:f>IF(S27="","",ROUNDUP(S27*1.10/'Aircraft and method'!C10*60+'Aircraft and method'!D10,0))</x:f>
        <x:v>129</x:v>
      </x:c>
      <x:c r="AA27" s="2" t="n">
        <x:f>IF(T27="","",ROUNDUP(T27*1.10/IF(T27&lt;60,170,'Aircraft and method'!C11)*60+IF(T27&lt;60,10,'Aircraft and method'!D11),0))</x:f>
        <x:v>47</x:v>
      </x:c>
      <x:c r="AB27" s="2" t="n">
        <x:f>IF(T27="","",ROUNDUP(T27*1.10/'Aircraft and method'!C12*60+'Aircraft and method'!D12,0))</x:f>
        <x:v>74</x:v>
      </x:c>
      <x:c r="AC27" s="7" t="str">
        <x:v>Ineligible: no evidenced purpose</x:v>
      </x:c>
      <x:c r="AD27" s="2"/>
      <x:c r="AE27" s="2"/>
      <x:c r="AF27" s="7" t="str">
        <x:v>Ineligible: no evidenced purpose</x:v>
      </x:c>
      <x:c r="AG27" s="2"/>
      <x:c r="AH27" s="2"/>
      <x:c r="AI27" s="7" t="str">
        <x:v>Eligible purpose</x:v>
      </x:c>
      <x:c r="AJ27" s="2" t="n">
        <x:f>IF(Scoring!J27="","",Scoring!J27)</x:f>
        <x:v>84</x:v>
      </x:c>
      <x:c r="AK27" s="2" t="n">
        <x:f>Scoring!P27</x:f>
        <x:v>21</x:v>
      </x:c>
      <x:c r="AL27" s="7" t="str">
        <x:v>Ineligible: no evidenced purpose</x:v>
      </x:c>
      <x:c r="AM27" s="2"/>
      <x:c r="AN27" s="2"/>
      <x:c r="AO27" s="7" t="str">
        <x:v>Industrial</x:v>
      </x:c>
      <x:c r="AP27" s="2" t="n">
        <x:v>0.02</x:v>
      </x:c>
      <x:c r="AQ27" s="7" t="str">
        <x:v>https://andradamining.com/assets/uis/</x:v>
      </x:c>
      <x:c r="AR27" s="7" t="str">
        <x:v>https://ourairports.com/airports/FYUS/</x:v>
      </x:c>
      <x:c r="AS27" s="7" t="str">
        <x:v>OurAirports snapshot 2026-10-29</x:v>
      </x:c>
      <x:c r="AT27" s="7" t="str">
        <x:v>Retain existing accepted field and resource-economy role; no runway measurements established.</x:v>
      </x:c>
      <x:c r="AU27" s="7" t="str">
        <x:v>https://www.openstreetmap.org/?mlat=-21.230032&amp;mlon=14.866888#map=13/-21.230032/14.866888</x:v>
      </x:c>
      <x:c r="AV27" s="7" t="str">
        <x:v>Brandberg massif and arid mining town</x:v>
      </x:c>
      <x:c r="AW27" s="7" t="str">
        <x:v>Published identifier; reconcile with simulator</x:v>
      </x:c>
      <x:c r="AX27" s="2" t="str">
        <x:v>2026-10-29</x:v>
      </x:c>
    </x:row>
    <x:row r="28" ht="54" customHeight="1">
      <x:c r="A28" s="2" t="str">
        <x:v>FYBM</x:v>
      </x:c>
      <x:c r="B28" s="7" t="str">
        <x:v>B2Gold Otjikoto Mine Airport</x:v>
      </x:c>
      <x:c r="C28" s="7" t="str">
        <x:v>Industrial</x:v>
      </x:c>
      <x:c r="D28" s="2" t="str">
        <x:v>NA-OD</x:v>
      </x:c>
      <x:c r="E28" s="7" t="str">
        <x:v>Confirmed real-world destination; MSFS status unverified</x:v>
      </x:c>
      <x:c r="F28" s="7" t="str">
        <x:v>Industrial: Priority validation</x:v>
      </x:c>
      <x:c r="G28" s="16" t="n">
        <x:v>-19.992261</x:v>
      </x:c>
      <x:c r="H28" s="16" t="n">
        <x:v>17.127671</x:v>
      </x:c>
      <x:c r="I28" s="15" t="n">
        <x:v>4998</x:v>
      </x:c>
      <x:c r="J28" s="15"/>
      <x:c r="K28" s="15"/>
      <x:c r="L28" s="2" t="str">
        <x:v>Unknown</x:v>
      </x:c>
      <x:c r="M28" s="2" t="str">
        <x:v>Unknown</x:v>
      </x:c>
      <x:c r="N28" s="7" t="str">
        <x:v>Runway dimensions, width, surface and orientation not established in this pass</x:v>
      </x:c>
      <x:c r="O28" s="7" t="str">
        <x:v>Otjikoto gold mine / Wolfshag underground operation</x:v>
      </x:c>
      <x:c r="P28" s="7" t="str">
        <x:v>Industrial: Otjikoto gold mine / Wolfshag underground operation — Urgent parts, tools, samples and specialists; aircraft-scale consignments only.</x:v>
      </x:c>
      <x:c r="Q28" s="7" t="str">
        <x:v>No aircraft approved by this research. Unknown/conflicting field data: hold performance clearance; assess each type separately.</x:v>
      </x:c>
      <x:c r="R28" s="7" t="str">
        <x:v>Not returned by 2026-10-16 published scan or 2026-10-27 cached scan; no new query. Search by geography/alternate identifier before custom scenery.</x:v>
      </x:c>
      <x:c r="S28" s="15" t="n">
        <x:v>156.9</x:v>
      </x:c>
      <x:c r="T28" s="15" t="n">
        <x:v>226.7</x:v>
      </x:c>
      <x:c r="U28" s="2" t="n">
        <x:f>IF(S28="","",ROUNDUP(S28*1.10/'Aircraft and method'!C5*60+'Aircraft and method'!D5,0))</x:f>
        <x:v>124</x:v>
      </x:c>
      <x:c r="V28" s="2" t="n">
        <x:f>IF(S28="","",ROUNDUP(S28*1.10/'Aircraft and method'!C6*60+'Aircraft and method'!D6,0))</x:f>
        <x:v>77</x:v>
      </x:c>
      <x:c r="W28" s="2" t="n">
        <x:f>IF(S28="","",ROUNDUP(S28*1.10/'Aircraft and method'!C7*60+'Aircraft and method'!D7,0))</x:f>
        <x:v>70</x:v>
      </x:c>
      <x:c r="X28" s="2" t="n">
        <x:f>IF(S28="","",ROUNDUP(S28*1.10/'Aircraft and method'!C8*60+'Aircraft and method'!D8,0))</x:f>
        <x:v>77</x:v>
      </x:c>
      <x:c r="Y28" s="2" t="n">
        <x:f>IF(S28="","",ROUNDUP(S28*1.10/'Aircraft and method'!C9*60+'Aircraft and method'!D9,0))</x:f>
        <x:v>103</x:v>
      </x:c>
      <x:c r="Z28" s="2" t="n">
        <x:f>IF(S28="","",ROUNDUP(S28*1.10/'Aircraft and method'!C10*60+'Aircraft and method'!D10,0))</x:f>
        <x:v>136</x:v>
      </x:c>
      <x:c r="AA28" s="2" t="n">
        <x:f>IF(T28="","",ROUNDUP(T28*1.10/IF(T28&lt;60,170,'Aircraft and method'!C11)*60+IF(T28&lt;60,10,'Aircraft and method'!D11),0))</x:f>
        <x:v>84</x:v>
      </x:c>
      <x:c r="AB28" s="2" t="n">
        <x:f>IF(T28="","",ROUNDUP(T28*1.10/'Aircraft and method'!C12*60+'Aircraft and method'!D12,0))</x:f>
        <x:v>147</x:v>
      </x:c>
      <x:c r="AC28" s="7" t="str">
        <x:v>Ineligible: no evidenced purpose</x:v>
      </x:c>
      <x:c r="AD28" s="2"/>
      <x:c r="AE28" s="2"/>
      <x:c r="AF28" s="7" t="str">
        <x:v>Ineligible: no evidenced purpose</x:v>
      </x:c>
      <x:c r="AG28" s="2"/>
      <x:c r="AH28" s="2"/>
      <x:c r="AI28" s="7" t="str">
        <x:v>Eligible purpose</x:v>
      </x:c>
      <x:c r="AJ28" s="2" t="n">
        <x:f>IF(Scoring!J28="","",Scoring!J28)</x:f>
        <x:v>84</x:v>
      </x:c>
      <x:c r="AK28" s="2" t="n">
        <x:f>Scoring!P28</x:f>
        <x:v>17</x:v>
      </x:c>
      <x:c r="AL28" s="7" t="str">
        <x:v>Ineligible: no evidenced purpose</x:v>
      </x:c>
      <x:c r="AM28" s="2"/>
      <x:c r="AN28" s="2"/>
      <x:c r="AO28" s="7" t="str">
        <x:v>Industrial</x:v>
      </x:c>
      <x:c r="AP28" s="2"/>
      <x:c r="AQ28" s="7" t="str">
        <x:v>https://b2gold.com/operations-projects/producing/otjikoto-mine-namibia/default.aspx</x:v>
      </x:c>
      <x:c r="AR28" s="7" t="str">
        <x:v>https://ourairports.com/airports/FYBM/</x:v>
      </x:c>
      <x:c r="AS28" s="7" t="str">
        <x:v>OurAirports snapshot 2026-10-29</x:v>
      </x:c>
      <x:c r="AT28" s="7" t="str">
        <x:v>Open-pit phase ended 2025; underground/processing support remains plausible. Identifier absent in recorded MSFS response.</x:v>
      </x:c>
      <x:c r="AU28" s="7" t="str">
        <x:v>https://www.openstreetmap.org/?mlat=-19.992261&amp;mlon=17.127671#map=13/-19.992261/17.127671</x:v>
      </x:c>
      <x:c r="AV28" s="7" t="str">
        <x:v>Northern savanna and mining infrastructure</x:v>
      </x:c>
      <x:c r="AW28" s="7" t="str">
        <x:v>Published identifier; reconcile with simulator</x:v>
      </x:c>
      <x:c r="AX28" s="2" t="str">
        <x:v>2026-10-29</x:v>
      </x:c>
    </x:row>
    <x:row r="29" ht="54" customHeight="1">
      <x:c r="A29" s="2" t="str">
        <x:v>FYKR</x:v>
      </x:c>
      <x:c r="B29" s="7" t="str">
        <x:v>Okorusu Mine Airstrip</x:v>
      </x:c>
      <x:c r="C29" s="7" t="str">
        <x:v>Industrial</x:v>
      </x:c>
      <x:c r="D29" s="2" t="str">
        <x:v>NA-OD</x:v>
      </x:c>
      <x:c r="E29" s="7" t="str">
        <x:v>Confirmed real-world destination; MSFS status unverified</x:v>
      </x:c>
      <x:c r="F29" s="7" t="str">
        <x:v>Industrial: Research hold</x:v>
      </x:c>
      <x:c r="G29" s="16" t="n">
        <x:v>-20.062512</x:v>
      </x:c>
      <x:c r="H29" s="16" t="n">
        <x:v>16.725565</x:v>
      </x:c>
      <x:c r="I29" s="15" t="n">
        <x:v>4613</x:v>
      </x:c>
      <x:c r="J29" s="15"/>
      <x:c r="K29" s="15"/>
      <x:c r="L29" s="2" t="str">
        <x:v>Unknown</x:v>
      </x:c>
      <x:c r="M29" s="2" t="str">
        <x:v>Unknown</x:v>
      </x:c>
      <x:c r="N29" s="7" t="str">
        <x:v>Runway dimensions, width, surface and orientation not established in this pass</x:v>
      </x:c>
      <x:c r="O29" s="7" t="str">
        <x:v>Okorusu fluorspar mine</x:v>
      </x:c>
      <x:c r="P29" s="7" t="str">
        <x:v>Industrial: Okorusu fluorspar mine — Urgent parts, tools, samples and specialists; aircraft-scale consignments only.</x:v>
      </x:c>
      <x:c r="Q29" s="7" t="str">
        <x:v>No aircraft approved by this research. Unknown/conflicting field data: hold performance clearance; assess each type separately.</x:v>
      </x:c>
      <x:c r="R29" s="7" t="str">
        <x:v>Not queried by this cache; absence cannot be inferred.</x:v>
      </x:c>
      <x:c r="S29" s="15" t="n">
        <x:v>153.9</x:v>
      </x:c>
      <x:c r="T29" s="15" t="n">
        <x:v>210.2</x:v>
      </x:c>
      <x:c r="U29" s="2" t="n">
        <x:f>IF(S29="","",ROUNDUP(S29*1.10/'Aircraft and method'!C5*60+'Aircraft and method'!D5,0))</x:f>
        <x:v>121</x:v>
      </x:c>
      <x:c r="V29" s="2" t="n">
        <x:f>IF(S29="","",ROUNDUP(S29*1.10/'Aircraft and method'!C6*60+'Aircraft and method'!D6,0))</x:f>
        <x:v>76</x:v>
      </x:c>
      <x:c r="W29" s="2" t="n">
        <x:f>IF(S29="","",ROUNDUP(S29*1.10/'Aircraft and method'!C7*60+'Aircraft and method'!D7,0))</x:f>
        <x:v>69</x:v>
      </x:c>
      <x:c r="X29" s="2" t="n">
        <x:f>IF(S29="","",ROUNDUP(S29*1.10/'Aircraft and method'!C8*60+'Aircraft and method'!D8,0))</x:f>
        <x:v>76</x:v>
      </x:c>
      <x:c r="Y29" s="2" t="n">
        <x:f>IF(S29="","",ROUNDUP(S29*1.10/'Aircraft and method'!C9*60+'Aircraft and method'!D9,0))</x:f>
        <x:v>101</x:v>
      </x:c>
      <x:c r="Z29" s="2" t="n">
        <x:f>IF(S29="","",ROUNDUP(S29*1.10/'Aircraft and method'!C10*60+'Aircraft and method'!D10,0))</x:f>
        <x:v>133</x:v>
      </x:c>
      <x:c r="AA29" s="2" t="n">
        <x:f>IF(T29="","",ROUNDUP(T29*1.10/IF(T29&lt;60,170,'Aircraft and method'!C11)*60+IF(T29&lt;60,10,'Aircraft and method'!D11),0))</x:f>
        <x:v>79</x:v>
      </x:c>
      <x:c r="AB29" s="2" t="n">
        <x:f>IF(T29="","",ROUNDUP(T29*1.10/'Aircraft and method'!C12*60+'Aircraft and method'!D12,0))</x:f>
        <x:v>137</x:v>
      </x:c>
      <x:c r="AC29" s="7" t="str">
        <x:v>Ineligible: no evidenced purpose</x:v>
      </x:c>
      <x:c r="AD29" s="2"/>
      <x:c r="AE29" s="2"/>
      <x:c r="AF29" s="7" t="str">
        <x:v>Ineligible: no evidenced purpose</x:v>
      </x:c>
      <x:c r="AG29" s="2"/>
      <x:c r="AH29" s="2"/>
      <x:c r="AI29" s="7" t="str">
        <x:v>Eligible purpose</x:v>
      </x:c>
      <x:c r="AJ29" s="2" t="n">
        <x:f>IF(Scoring!J29="","",Scoring!J29)</x:f>
        <x:v>68</x:v>
      </x:c>
      <x:c r="AK29" s="2" t="n">
        <x:f>Scoring!P29</x:f>
        <x:v>18</x:v>
      </x:c>
      <x:c r="AL29" s="7" t="str">
        <x:v>Ineligible: no evidenced purpose</x:v>
      </x:c>
      <x:c r="AM29" s="2"/>
      <x:c r="AN29" s="2"/>
      <x:c r="AO29" s="7" t="str">
        <x:v>Industrial</x:v>
      </x:c>
      <x:c r="AP29" s="2"/>
      <x:c r="AQ29" s="7" t="str">
        <x:v>https://eia.meft.gov.na/screening/1653_draft_amended_emp_oku_july_2024.pdf</x:v>
      </x:c>
      <x:c r="AR29" s="7" t="str">
        <x:v>https://ourairports.com/airports/FYKR/</x:v>
      </x:c>
      <x:c r="AS29" s="7" t="str">
        <x:v>OurAirports snapshot 2026-10-29</x:v>
      </x:c>
      <x:c r="AT29" s="7" t="str">
        <x:v>Mine/airstrip association credible; current production and civil air access unresolved. Do not model active ore output.</x:v>
      </x:c>
      <x:c r="AU29" s="7" t="str">
        <x:v>https://www.openstreetmap.org/?mlat=-20.062512&amp;mlon=16.725565#map=13/-20.062512/16.725565</x:v>
      </x:c>
      <x:c r="AV29" s="7" t="str">
        <x:v>Otjiwarongo-region hills and mineral landscape</x:v>
      </x:c>
      <x:c r="AW29" s="7" t="str">
        <x:v>Published identifier; reconcile with simulator</x:v>
      </x:c>
      <x:c r="AX29" s="2" t="str">
        <x:v>2026-10-29</x:v>
      </x:c>
    </x:row>
    <x:row r="30" ht="68" customHeight="1">
      <x:c r="A30" s="2" t="str">
        <x:v>FYTM</x:v>
      </x:c>
      <x:c r="B30" s="7" t="str">
        <x:v>Tsumeb Airport</x:v>
      </x:c>
      <x:c r="C30" s="7" t="str">
        <x:v>Industrial</x:v>
      </x:c>
      <x:c r="D30" s="2" t="str">
        <x:v>NA-OT</x:v>
      </x:c>
      <x:c r="E30" s="7" t="str">
        <x:v>Confirmed in MSFS 2024</x:v>
      </x:c>
      <x:c r="F30" s="7" t="str">
        <x:v>Industrial: Research hold</x:v>
      </x:c>
      <x:c r="G30" s="16" t="n">
        <x:v>-19.262079</x:v>
      </x:c>
      <x:c r="H30" s="16" t="n">
        <x:v>17.732509</x:v>
      </x:c>
      <x:c r="I30" s="15" t="n">
        <x:v>4353</x:v>
      </x:c>
      <x:c r="J30" s="15" t="n">
        <x:v>1470.1</x:v>
      </x:c>
      <x:c r="K30" s="15" t="n">
        <x:v>17.1</x:v>
      </x:c>
      <x:c r="L30" s="2" t="str">
        <x:v>ASP</x:v>
      </x:c>
      <x:c r="M30" s="2" t="str">
        <x:v>12/30</x:v>
      </x:c>
      <x:c r="N30" s="7" t="str">
        <x:v>1470 x 17 m; ASP; 12/30</x:v>
      </x:c>
      <x:c r="O30" s="7" t="str">
        <x:v>Tsumeb smelter / recycling project</x:v>
      </x:c>
      <x:c r="P30" s="7" t="str">
        <x:v>Industrial: Tsumeb smelter / recycling project — Urgent parts, tools, samples and specialists; aircraft-scale consignments only.</x:v>
      </x:c>
      <x:c r="Q30" s="7" t="str">
        <x:v>No aircraft approved by this research. Known paved runway: candidate for fleet-specific AFM/weight/density-altitude assessment.</x:v>
      </x:c>
      <x:c r="R30" s="7" t="str">
        <x:v>Identifier returned in 2026-10-27 cache; offset 0.3 NM from real-world point. Database presence only; scenery/runway uninspected.</x:v>
      </x:c>
      <x:c r="S30" s="15" t="n">
        <x:v>204</x:v>
      </x:c>
      <x:c r="T30" s="15" t="n">
        <x:v>282.3</x:v>
      </x:c>
      <x:c r="U30" s="2" t="n">
        <x:f>IF(S30="","",ROUNDUP(S30*1.10/'Aircraft and method'!C5*60+'Aircraft and method'!D5,0))</x:f>
        <x:v>158</x:v>
      </x:c>
      <x:c r="V30" s="2" t="n">
        <x:f>IF(S30="","",ROUNDUP(S30*1.10/'Aircraft and method'!C6*60+'Aircraft and method'!D6,0))</x:f>
        <x:v>97</x:v>
      </x:c>
      <x:c r="W30" s="2" t="n">
        <x:f>IF(S30="","",ROUNDUP(S30*1.10/'Aircraft and method'!C7*60+'Aircraft and method'!D7,0))</x:f>
        <x:v>87</x:v>
      </x:c>
      <x:c r="X30" s="2" t="n">
        <x:f>IF(S30="","",ROUNDUP(S30*1.10/'Aircraft and method'!C8*60+'Aircraft and method'!D8,0))</x:f>
        <x:v>97</x:v>
      </x:c>
      <x:c r="Y30" s="2" t="n">
        <x:f>IF(S30="","",ROUNDUP(S30*1.10/'Aircraft and method'!C9*60+'Aircraft and method'!D9,0))</x:f>
        <x:v>131</x:v>
      </x:c>
      <x:c r="Z30" s="2" t="n">
        <x:f>IF(S30="","",ROUNDUP(S30*1.10/'Aircraft and method'!C10*60+'Aircraft and method'!D10,0))</x:f>
        <x:v>175</x:v>
      </x:c>
      <x:c r="AA30" s="2" t="n">
        <x:f>IF(T30="","",ROUNDUP(T30*1.10/IF(T30&lt;60,170,'Aircraft and method'!C11)*60+IF(T30&lt;60,10,'Aircraft and method'!D11),0))</x:f>
        <x:v>100</x:v>
      </x:c>
      <x:c r="AB30" s="2" t="n">
        <x:f>IF(T30="","",ROUNDUP(T30*1.10/'Aircraft and method'!C12*60+'Aircraft and method'!D12,0))</x:f>
        <x:v>180</x:v>
      </x:c>
      <x:c r="AC30" s="7" t="str">
        <x:v>Ineligible: no evidenced purpose</x:v>
      </x:c>
      <x:c r="AD30" s="2"/>
      <x:c r="AE30" s="2"/>
      <x:c r="AF30" s="7" t="str">
        <x:v>Ineligible: no evidenced purpose</x:v>
      </x:c>
      <x:c r="AG30" s="2"/>
      <x:c r="AH30" s="2"/>
      <x:c r="AI30" s="7" t="str">
        <x:v>Eligible purpose</x:v>
      </x:c>
      <x:c r="AJ30" s="2" t="n">
        <x:f>IF(Scoring!J30="","",Scoring!J30)</x:f>
        <x:v>76</x:v>
      </x:c>
      <x:c r="AK30" s="2" t="n">
        <x:f>Scoring!P30</x:f>
        <x:v>14</x:v>
      </x:c>
      <x:c r="AL30" s="7" t="str">
        <x:v>Ineligible: no evidenced purpose</x:v>
      </x:c>
      <x:c r="AM30" s="2"/>
      <x:c r="AN30" s="2"/>
      <x:c r="AO30" s="7" t="str">
        <x:v>Industrial</x:v>
      </x:c>
      <x:c r="AP30" s="2" t="n">
        <x:v>0.28</x:v>
      </x:c>
      <x:c r="AQ30" s="7" t="str">
        <x:v>https://en.sinomine.cn/fzjg/181.html
https://thebrief.com.na/2026/08/sinomine-tsumeb-smelter-invests-over-4-billion-namibia-dollars-in-mmr-plant-and-community-projects-despite-challenges/</x:v>
      </x:c>
      <x:c r="AR30" s="7" t="str">
        <x:v>https://ourairports.com/airports/FYTM/</x:v>
      </x:c>
      <x:c r="AS30" s="7" t="str">
        <x:v>OurAirports snapshot 2026-10-29</x:v>
      </x:c>
      <x:c r="AT30" s="7" t="str">
        <x:v>2026 reporting says copper processing is in care and maintenance. Only maintenance/project specialists, not invented recurring active copper production.</x:v>
      </x:c>
      <x:c r="AU30" s="7" t="str">
        <x:v>https://www.openstreetmap.org/?mlat=-19.262079&amp;mlon=17.732509#map=13/-19.262079/17.732509</x:v>
      </x:c>
      <x:c r="AV30" s="7" t="str">
        <x:v>Otavi hills and mining town</x:v>
      </x:c>
      <x:c r="AW30" s="7" t="str">
        <x:v>Published identifier; reconcile with simulator</x:v>
      </x:c>
      <x:c r="AX30" s="2" t="str">
        <x:v>2026-10-29</x:v>
      </x:c>
    </x:row>
    <x:row r="31" ht="54" customHeight="1">
      <x:c r="A31" s="2" t="str">
        <x:v>FYKA</x:v>
      </x:c>
      <x:c r="B31" s="7" t="str">
        <x:v>Karibib Airport</x:v>
      </x:c>
      <x:c r="C31" s="7" t="str">
        <x:v>Industrial</x:v>
      </x:c>
      <x:c r="D31" s="2" t="str">
        <x:v>NA-ER</x:v>
      </x:c>
      <x:c r="E31" s="7" t="str">
        <x:v>Confirmed in MSFS 2024</x:v>
      </x:c>
      <x:c r="F31" s="7" t="str">
        <x:v>Industrial: Research hold</x:v>
      </x:c>
      <x:c r="G31" s="16" t="n">
        <x:v>-21.847799</x:v>
      </x:c>
      <x:c r="H31" s="16" t="n">
        <x:v>15.9028</x:v>
      </x:c>
      <x:c r="I31" s="15" t="n">
        <x:v>3829</x:v>
      </x:c>
      <x:c r="J31" s="15"/>
      <x:c r="K31" s="15"/>
      <x:c r="L31" s="2" t="str">
        <x:v>Unknown</x:v>
      </x:c>
      <x:c r="M31" s="2" t="str">
        <x:v>Unknown</x:v>
      </x:c>
      <x:c r="N31" s="7" t="str">
        <x:v>Runway dimensions, width, surface and orientation not established in this pass</x:v>
      </x:c>
      <x:c r="O31" s="7" t="str">
        <x:v>Karibib / Navachab gold mining district</x:v>
      </x:c>
      <x:c r="P31" s="7" t="str">
        <x:v>Industrial: Karibib / Navachab gold mining district — Urgent parts, tools, samples and specialists; aircraft-scale consignments only.</x:v>
      </x:c>
      <x:c r="Q31" s="7" t="str">
        <x:v>No aircraft approved by this research. Unknown/conflicting field data: hold performance clearance; assess each type separately.</x:v>
      </x:c>
      <x:c r="R31" s="7" t="str">
        <x:v>Identifier returned in 2026-10-27 cache; offset 0.3 NM from real-world point. Database presence only; scenery/runway uninspected.</x:v>
      </x:c>
      <x:c r="S31" s="15" t="n">
        <x:v>79.6</x:v>
      </x:c>
      <x:c r="T31" s="15" t="n">
        <x:v>97.4</x:v>
      </x:c>
      <x:c r="U31" s="2" t="n">
        <x:f>IF(S31="","",ROUNDUP(S31*1.10/'Aircraft and method'!C5*60+'Aircraft and method'!D5,0))</x:f>
        <x:v>67</x:v>
      </x:c>
      <x:c r="V31" s="2" t="n">
        <x:f>IF(S31="","",ROUNDUP(S31*1.10/'Aircraft and method'!C6*60+'Aircraft and method'!D6,0))</x:f>
        <x:v>44</x:v>
      </x:c>
      <x:c r="W31" s="2" t="n">
        <x:f>IF(S31="","",ROUNDUP(S31*1.10/'Aircraft and method'!C7*60+'Aircraft and method'!D7,0))</x:f>
        <x:v>41</x:v>
      </x:c>
      <x:c r="X31" s="2" t="n">
        <x:f>IF(S31="","",ROUNDUP(S31*1.10/'Aircraft and method'!C8*60+'Aircraft and method'!D8,0))</x:f>
        <x:v>44</x:v>
      </x:c>
      <x:c r="Y31" s="2" t="n">
        <x:f>IF(S31="","",ROUNDUP(S31*1.10/'Aircraft and method'!C9*60+'Aircraft and method'!D9,0))</x:f>
        <x:v>56</x:v>
      </x:c>
      <x:c r="Z31" s="2" t="n">
        <x:f>IF(S31="","",ROUNDUP(S31*1.10/'Aircraft and method'!C10*60+'Aircraft and method'!D10,0))</x:f>
        <x:v>72</x:v>
      </x:c>
      <x:c r="AA31" s="2" t="n">
        <x:f>IF(T31="","",ROUNDUP(T31*1.10/IF(T31&lt;60,170,'Aircraft and method'!C11)*60+IF(T31&lt;60,10,'Aircraft and method'!D11),0))</x:f>
        <x:v>45</x:v>
      </x:c>
      <x:c r="AB31" s="2" t="n">
        <x:f>IF(T31="","",ROUNDUP(T31*1.10/'Aircraft and method'!C12*60+'Aircraft and method'!D12,0))</x:f>
        <x:v>69</x:v>
      </x:c>
      <x:c r="AC31" s="7" t="str">
        <x:v>Ineligible: no evidenced purpose</x:v>
      </x:c>
      <x:c r="AD31" s="2"/>
      <x:c r="AE31" s="2"/>
      <x:c r="AF31" s="7" t="str">
        <x:v>Ineligible: no evidenced purpose</x:v>
      </x:c>
      <x:c r="AG31" s="2"/>
      <x:c r="AH31" s="2"/>
      <x:c r="AI31" s="7" t="str">
        <x:v>Eligible purpose</x:v>
      </x:c>
      <x:c r="AJ31" s="2" t="n">
        <x:f>IF(Scoring!J31="","",Scoring!J31)</x:f>
        <x:v>80</x:v>
      </x:c>
      <x:c r="AK31" s="2" t="n">
        <x:f>Scoring!P31</x:f>
        <x:v>18</x:v>
      </x:c>
      <x:c r="AL31" s="7" t="str">
        <x:v>Ineligible: no evidenced purpose</x:v>
      </x:c>
      <x:c r="AM31" s="2"/>
      <x:c r="AN31" s="2"/>
      <x:c r="AO31" s="7" t="str">
        <x:v>Industrial</x:v>
      </x:c>
      <x:c r="AP31" s="2" t="n">
        <x:v>0.27</x:v>
      </x:c>
      <x:c r="AQ31" s="7" t="str">
        <x:v>https://eia.meft.gov.na/screening/5728_esa_report_ml_271_reduced.pdf</x:v>
      </x:c>
      <x:c r="AR31" s="7" t="str">
        <x:v>https://ourairports.com/airports/FYKA/</x:v>
      </x:c>
      <x:c r="AS31" s="7" t="str">
        <x:v>OurAirports snapshot 2026-10-29</x:v>
      </x:c>
      <x:c r="AT31" s="7" t="str">
        <x:v>FYKA associated with air force base; civil permission and actual mine transfer need verification.</x:v>
      </x:c>
      <x:c r="AU31" s="7" t="str">
        <x:v>https://www.openstreetmap.org/?mlat=-21.847799&amp;mlon=15.902800#map=13/-21.847799/15.902800</x:v>
      </x:c>
      <x:c r="AV31" s="7" t="str">
        <x:v>Erongo hills, marble and gold-mining district</x:v>
      </x:c>
      <x:c r="AW31" s="7" t="str">
        <x:v>Published identifier; reconcile with simulator</x:v>
      </x:c>
      <x:c r="AX31" s="2" t="str">
        <x:v>2026-10-29</x:v>
      </x:c>
    </x:row>
    <x:row r="32" ht="54" customHeight="1">
      <x:c r="A32" s="2" t="str">
        <x:v>FYSM</x:v>
      </x:c>
      <x:c r="B32" s="7" t="str">
        <x:v>Swakopmund Municipal Aerodrome</x:v>
      </x:c>
      <x:c r="C32" s="7" t="str">
        <x:v>Industrial / Offshore</x:v>
      </x:c>
      <x:c r="D32" s="2" t="str">
        <x:v>NA-ER</x:v>
      </x:c>
      <x:c r="E32" s="7" t="str">
        <x:v>Confirmed in MSFS 2024</x:v>
      </x:c>
      <x:c r="F32" s="7" t="str">
        <x:v>Industrial: Priority validation; Offshore: Research hold</x:v>
      </x:c>
      <x:c r="G32" s="16" t="n">
        <x:v>-22.6619</x:v>
      </x:c>
      <x:c r="H32" s="16" t="n">
        <x:v>14.5681</x:v>
      </x:c>
      <x:c r="I32" s="15" t="n">
        <x:v>207</x:v>
      </x:c>
      <x:c r="J32" s="15"/>
      <x:c r="K32" s="15"/>
      <x:c r="L32" s="2" t="str">
        <x:v>Unknown</x:v>
      </x:c>
      <x:c r="M32" s="2" t="str">
        <x:v>Unknown</x:v>
      </x:c>
      <x:c r="N32" s="7" t="str">
        <x:v>Runway dimensions, width, surface and orientation not established in this pass</x:v>
      </x:c>
      <x:c r="O32" s="7" t="str">
        <x:v>Swakopmund uranium-service hub / Langer Heinrich road transfer</x:v>
      </x:c>
      <x:c r="P32" s="7" t="str">
        <x:v>Industrial: Swakopmund uranium-service hub / Langer Heinrich road transfer — Urgent parts, tools, samples and specialists; aircraft-scale consignments only.
Offshore: Swakopmund uranium-service hub / Langer Heinrich road transfer — Marine-industry specialist/equipment or executive airport transfer; proposed adaptation of existing airport mission types.</x:v>
      </x:c>
      <x:c r="Q32" s="7" t="str">
        <x:v>No aircraft approved by this research. Unknown/conflicting field data: hold performance clearance; assess each type separately.</x:v>
      </x:c>
      <x:c r="R32" s="7" t="str">
        <x:v>Identifier returned in 2026-10-27 cache; offset 0.2 NM from real-world point. Database presence only; scenery/runway uninspected.</x:v>
      </x:c>
      <x:c r="S32" s="15" t="n">
        <x:v>139.2</x:v>
      </x:c>
      <x:c r="T32" s="15" t="n">
        <x:v>19.6</x:v>
      </x:c>
      <x:c r="U32" s="2" t="n">
        <x:f>IF(S32="","",ROUNDUP(S32*1.10/'Aircraft and method'!C5*60+'Aircraft and method'!D5,0))</x:f>
        <x:v>111</x:v>
      </x:c>
      <x:c r="V32" s="2" t="n">
        <x:f>IF(S32="","",ROUNDUP(S32*1.10/'Aircraft and method'!C6*60+'Aircraft and method'!D6,0))</x:f>
        <x:v>70</x:v>
      </x:c>
      <x:c r="W32" s="2" t="n">
        <x:f>IF(S32="","",ROUNDUP(S32*1.10/'Aircraft and method'!C7*60+'Aircraft and method'!D7,0))</x:f>
        <x:v>63</x:v>
      </x:c>
      <x:c r="X32" s="2" t="n">
        <x:f>IF(S32="","",ROUNDUP(S32*1.10/'Aircraft and method'!C8*60+'Aircraft and method'!D8,0))</x:f>
        <x:v>70</x:v>
      </x:c>
      <x:c r="Y32" s="2" t="n">
        <x:f>IF(S32="","",ROUNDUP(S32*1.10/'Aircraft and method'!C9*60+'Aircraft and method'!D9,0))</x:f>
        <x:v>92</x:v>
      </x:c>
      <x:c r="Z32" s="2" t="n">
        <x:f>IF(S32="","",ROUNDUP(S32*1.10/'Aircraft and method'!C10*60+'Aircraft and method'!D10,0))</x:f>
        <x:v>121</x:v>
      </x:c>
      <x:c r="AA32" s="2" t="n">
        <x:f>IF(T32="","",ROUNDUP(T32*1.10/IF(T32&lt;60,170,'Aircraft and method'!C11)*60+IF(T32&lt;60,10,'Aircraft and method'!D11),0))</x:f>
        <x:v>18</x:v>
      </x:c>
      <x:c r="AB32" s="2" t="n">
        <x:f>IF(T32="","",ROUNDUP(T32*1.10/'Aircraft and method'!C12*60+'Aircraft and method'!D12,0))</x:f>
        <x:v>22</x:v>
      </x:c>
      <x:c r="AC32" s="7" t="str">
        <x:v>Ineligible: no evidenced purpose</x:v>
      </x:c>
      <x:c r="AD32" s="2"/>
      <x:c r="AE32" s="2"/>
      <x:c r="AF32" s="7" t="str">
        <x:v>Ineligible: no evidenced purpose</x:v>
      </x:c>
      <x:c r="AG32" s="2"/>
      <x:c r="AH32" s="2"/>
      <x:c r="AI32" s="7" t="str">
        <x:v>Eligible purpose</x:v>
      </x:c>
      <x:c r="AJ32" s="2" t="n">
        <x:f>IF(Scoring!J32="","",Scoring!J32)</x:f>
        <x:v>76</x:v>
      </x:c>
      <x:c r="AK32" s="2" t="n">
        <x:f>Scoring!P32</x:f>
        <x:v>17</x:v>
      </x:c>
      <x:c r="AL32" s="7" t="str">
        <x:v>Eligible purpose</x:v>
      </x:c>
      <x:c r="AM32" s="2" t="n">
        <x:f>IF(Scoring!J66="","",Scoring!J66)</x:f>
        <x:v>52</x:v>
      </x:c>
      <x:c r="AN32" s="2" t="n">
        <x:f>Scoring!P66</x:f>
        <x:v>16</x:v>
      </x:c>
      <x:c r="AO32" s="7" t="str">
        <x:v>Industrial; Offshore</x:v>
      </x:c>
      <x:c r="AP32" s="2" t="n">
        <x:v>0.23</x:v>
      </x:c>
      <x:c r="AQ32" s="7" t="str">
        <x:v>https://www.paladinenergy.com/langer-heinrich-mine/</x:v>
      </x:c>
      <x:c r="AR32" s="7" t="str">
        <x:v>https://ourairports.com/airports/FYSM/</x:v>
      </x:c>
      <x:c r="AS32" s="7" t="str">
        <x:v>OurAirports snapshot 2026-10-29</x:v>
      </x:c>
      <x:c r="AT32" s="7" t="str">
        <x:v>Industrial spares/specialists plausible through city; mine is about 80 km east, not adjacent to runway.</x:v>
      </x:c>
      <x:c r="AU32" s="7" t="str">
        <x:v>https://www.openstreetmap.org/?mlat=-22.661900&amp;mlon=14.568100#map=13/-22.661900/14.568100</x:v>
      </x:c>
      <x:c r="AV32" s="7" t="str">
        <x:v>Atlantic coast, dunes and desert transition</x:v>
      </x:c>
      <x:c r="AW32" s="7" t="str">
        <x:v>Published identifier; reconcile with simulator</x:v>
      </x:c>
      <x:c r="AX32" s="2" t="str">
        <x:v>2026-10-29</x:v>
      </x:c>
    </x:row>
    <x:row r="33" ht="54" customHeight="1">
      <x:c r="A33" s="2" t="str">
        <x:v>FYWB</x:v>
      </x:c>
      <x:c r="B33" s="7" t="str">
        <x:v>Walvis Bay International Airport</x:v>
      </x:c>
      <x:c r="C33" s="7" t="str">
        <x:v>Industrial</x:v>
      </x:c>
      <x:c r="D33" s="2" t="str">
        <x:v>NA-ER</x:v>
      </x:c>
      <x:c r="E33" s="7" t="str">
        <x:v>Confirmed in MSFS 2024</x:v>
      </x:c>
      <x:c r="F33" s="7" t="str">
        <x:v>Industrial: Priority validation</x:v>
      </x:c>
      <x:c r="G33" s="16" t="n">
        <x:v>-22.979332</x:v>
      </x:c>
      <x:c r="H33" s="16" t="n">
        <x:v>14.647102</x:v>
      </x:c>
      <x:c r="I33" s="15" t="n">
        <x:v>299</x:v>
      </x:c>
      <x:c r="J33" s="15" t="n">
        <x:v>3500</x:v>
      </x:c>
      <x:c r="K33" s="15" t="n">
        <x:v>59.7</x:v>
      </x:c>
      <x:c r="L33" s="2" t="str">
        <x:v>ASP</x:v>
      </x:c>
      <x:c r="M33" s="2" t="str">
        <x:v>09/27</x:v>
      </x:c>
      <x:c r="N33" s="7" t="str">
        <x:v>3500 x 60 m; ASP; 09/27</x:v>
      </x:c>
      <x:c r="O33" s="7" t="str">
        <x:v>Walvis Bay port, repair and logistics industries</x:v>
      </x:c>
      <x:c r="P33" s="7" t="str">
        <x:v>Industrial: Walvis Bay port, repair and logistics industries — Urgent parts, tools, samples and specialists; aircraft-scale consignments only.</x:v>
      </x:c>
      <x:c r="Q33" s="7" t="str">
        <x:v>No aircraft approved by this research. Known paved runway: candidate for fleet-specific AFM/weight/density-altitude assessment.</x:v>
      </x:c>
      <x:c r="R33" s="7" t="str">
        <x:v>Identifier returned in 2026-10-27 cache; offset 0.1 NM from real-world point. Database presence only; scenery/runway uninspected.</x:v>
      </x:c>
      <x:c r="S33" s="15" t="n">
        <x:v>136.5</x:v>
      </x:c>
      <x:c r="T33" s="15" t="n">
        <x:v>0.1</x:v>
      </x:c>
      <x:c r="U33" s="2" t="n">
        <x:f>IF(S33="","",ROUNDUP(S33*1.10/'Aircraft and method'!C5*60+'Aircraft and method'!D5,0))</x:f>
        <x:v>109</x:v>
      </x:c>
      <x:c r="V33" s="2" t="n">
        <x:f>IF(S33="","",ROUNDUP(S33*1.10/'Aircraft and method'!C6*60+'Aircraft and method'!D6,0))</x:f>
        <x:v>69</x:v>
      </x:c>
      <x:c r="W33" s="2" t="n">
        <x:f>IF(S33="","",ROUNDUP(S33*1.10/'Aircraft and method'!C7*60+'Aircraft and method'!D7,0))</x:f>
        <x:v>62</x:v>
      </x:c>
      <x:c r="X33" s="2" t="n">
        <x:f>IF(S33="","",ROUNDUP(S33*1.10/'Aircraft and method'!C8*60+'Aircraft and method'!D8,0))</x:f>
        <x:v>69</x:v>
      </x:c>
      <x:c r="Y33" s="2" t="n">
        <x:f>IF(S33="","",ROUNDUP(S33*1.10/'Aircraft and method'!C9*60+'Aircraft and method'!D9,0))</x:f>
        <x:v>90</x:v>
      </x:c>
      <x:c r="Z33" s="2" t="n">
        <x:f>IF(S33="","",ROUNDUP(S33*1.10/'Aircraft and method'!C10*60+'Aircraft and method'!D10,0))</x:f>
        <x:v>119</x:v>
      </x:c>
      <x:c r="AA33" s="2" t="n">
        <x:f>IF(T33="","",ROUNDUP(T33*1.10/IF(T33&lt;60,170,'Aircraft and method'!C11)*60+IF(T33&lt;60,10,'Aircraft and method'!D11),0))</x:f>
        <x:v>11</x:v>
      </x:c>
      <x:c r="AB33" s="2" t="n">
        <x:f>IF(T33="","",ROUNDUP(T33*1.10/'Aircraft and method'!C12*60+'Aircraft and method'!D12,0))</x:f>
        <x:v>11</x:v>
      </x:c>
      <x:c r="AC33" s="7" t="str">
        <x:v>Ineligible: no evidenced purpose</x:v>
      </x:c>
      <x:c r="AD33" s="2"/>
      <x:c r="AE33" s="2"/>
      <x:c r="AF33" s="7" t="str">
        <x:v>Ineligible: no evidenced purpose</x:v>
      </x:c>
      <x:c r="AG33" s="2"/>
      <x:c r="AH33" s="2"/>
      <x:c r="AI33" s="7" t="str">
        <x:v>Eligible purpose</x:v>
      </x:c>
      <x:c r="AJ33" s="2" t="n">
        <x:f>IF(Scoring!J33="","",Scoring!J33)</x:f>
        <x:v>100</x:v>
      </x:c>
      <x:c r="AK33" s="2" t="n">
        <x:f>Scoring!P33</x:f>
        <x:v>16</x:v>
      </x:c>
      <x:c r="AL33" s="7" t="str">
        <x:v>Ineligible: no evidenced purpose</x:v>
      </x:c>
      <x:c r="AM33" s="2"/>
      <x:c r="AN33" s="2"/>
      <x:c r="AO33" s="7" t="str">
        <x:v>Industrial; Offshore</x:v>
      </x:c>
      <x:c r="AP33" s="2" t="n">
        <x:v>0.11</x:v>
      </x:c>
      <x:c r="AQ33" s="7" t="str">
        <x:v>https://www.namport.com.na/</x:v>
      </x:c>
      <x:c r="AR33" s="7" t="str">
        <x:v>https://ourairports.com/airports/FYWB/</x:v>
      </x:c>
      <x:c r="AS33" s="7" t="str">
        <x:v>OurAirports snapshot 2026-10-29</x:v>
      </x:c>
      <x:c r="AT33" s="7" t="str">
        <x:v>Retain industrial destination; Offshore base/return only. Not a dedicated mine strip.</x:v>
      </x:c>
      <x:c r="AU33" s="7" t="str">
        <x:v>https://www.openstreetmap.org/?mlat=-22.979332&amp;mlon=14.647102#map=13/-22.979332/14.647102</x:v>
      </x:c>
      <x:c r="AV33" s="7" t="str">
        <x:v>Atlantic port, lagoon and dunes</x:v>
      </x:c>
      <x:c r="AW33" s="7" t="str">
        <x:v>Published identifier; reconcile with simulator</x:v>
      </x:c>
      <x:c r="AX33" s="2" t="str">
        <x:v>2026-10-29</x:v>
      </x:c>
    </x:row>
    <x:row r="34" ht="82" customHeight="1">
      <x:c r="A34" s="2" t="str">
        <x:v>FYRP</x:v>
      </x:c>
      <x:c r="B34" s="7" t="str">
        <x:v>Rosh Pinah Zinc and southern mining town</x:v>
      </x:c>
      <x:c r="C34" s="7" t="str">
        <x:v>Industrial</x:v>
      </x:c>
      <x:c r="D34" s="2" t="str">
        <x:v>Namibia offshore / unresolved</x:v>
      </x:c>
      <x:c r="E34" s="7" t="str">
        <x:v>Partially verified</x:v>
      </x:c>
      <x:c r="F34" s="7" t="str">
        <x:v>Industrial: Research hold</x:v>
      </x:c>
      <x:c r="G34" s="16" t="n">
        <x:v>-27.9643</x:v>
      </x:c>
      <x:c r="H34" s="16" t="n">
        <x:v>16.753901</x:v>
      </x:c>
      <x:c r="I34" s="15"/>
      <x:c r="J34" s="15"/>
      <x:c r="K34" s="15"/>
      <x:c r="L34" s="2" t="str">
        <x:v>Unknown</x:v>
      </x:c>
      <x:c r="M34" s="2" t="str">
        <x:v>Unknown</x:v>
      </x:c>
      <x:c r="N34" s="7" t="str">
        <x:v>Runway dimensions, width, surface and orientation not established in this pass</x:v>
      </x:c>
      <x:c r="O34" s="7" t="str">
        <x:v>Rosh Pinah Zinc and southern mining town</x:v>
      </x:c>
      <x:c r="P34" s="7" t="str">
        <x:v>Industrial: Rosh Pinah Zinc and southern mining town — Urgent parts, tools, samples and specialists; aircraft-scale consignments only.</x:v>
      </x:c>
      <x:c r="Q34" s="7" t="str">
        <x:v>No aircraft approved by this research. Unknown/conflicting field data: hold performance clearance; assess each type separately.</x:v>
      </x:c>
      <x:c r="R34" s="7" t="str">
        <x:v>Not returned by 2026-10-16 published scan or 2026-10-27 cached scan; no new query. Search by geography/alternate identifier before custom scenery.</x:v>
      </x:c>
      <x:c r="S34" s="15" t="n">
        <x:v>322.3</x:v>
      </x:c>
      <x:c r="T34" s="15" t="n">
        <x:v>320.3</x:v>
      </x:c>
      <x:c r="U34" s="2" t="n">
        <x:f>IF(S34="","",ROUNDUP(S34*1.10/'Aircraft and method'!C5*60+'Aircraft and method'!D5,0))</x:f>
        <x:v>245</x:v>
      </x:c>
      <x:c r="V34" s="2" t="n">
        <x:f>IF(S34="","",ROUNDUP(S34*1.10/'Aircraft and method'!C6*60+'Aircraft and method'!D6,0))</x:f>
        <x:v>148</x:v>
      </x:c>
      <x:c r="W34" s="2" t="n">
        <x:f>IF(S34="","",ROUNDUP(S34*1.10/'Aircraft and method'!C7*60+'Aircraft and method'!D7,0))</x:f>
        <x:v>132</x:v>
      </x:c>
      <x:c r="X34" s="2" t="n">
        <x:f>IF(S34="","",ROUNDUP(S34*1.10/'Aircraft and method'!C8*60+'Aircraft and method'!D8,0))</x:f>
        <x:v>148</x:v>
      </x:c>
      <x:c r="Y34" s="2" t="n">
        <x:f>IF(S34="","",ROUNDUP(S34*1.10/'Aircraft and method'!C9*60+'Aircraft and method'!D9,0))</x:f>
        <x:v>202</x:v>
      </x:c>
      <x:c r="Z34" s="2" t="n">
        <x:f>IF(S34="","",ROUNDUP(S34*1.10/'Aircraft and method'!C10*60+'Aircraft and method'!D10,0))</x:f>
        <x:v>272</x:v>
      </x:c>
      <x:c r="AA34" s="2" t="n">
        <x:f>IF(T34="","",ROUNDUP(T34*1.10/IF(T34&lt;60,170,'Aircraft and method'!C11)*60+IF(T34&lt;60,10,'Aircraft and method'!D11),0))</x:f>
        <x:v>112</x:v>
      </x:c>
      <x:c r="AB34" s="2" t="n">
        <x:f>IF(T34="","",ROUNDUP(T34*1.10/'Aircraft and method'!C12*60+'Aircraft and method'!D12,0))</x:f>
        <x:v>203</x:v>
      </x:c>
      <x:c r="AC34" s="7" t="str">
        <x:v>Ineligible: no evidenced purpose</x:v>
      </x:c>
      <x:c r="AD34" s="2"/>
      <x:c r="AE34" s="2"/>
      <x:c r="AF34" s="7" t="str">
        <x:v>Ineligible: no evidenced purpose</x:v>
      </x:c>
      <x:c r="AG34" s="2"/>
      <x:c r="AH34" s="2"/>
      <x:c r="AI34" s="7" t="str">
        <x:v>Eligible purpose</x:v>
      </x:c>
      <x:c r="AJ34" s="2" t="n">
        <x:f>IF(Scoring!J34="","",Scoring!J34)</x:f>
        <x:v>68</x:v>
      </x:c>
      <x:c r="AK34" s="2" t="n">
        <x:f>Scoring!P34</x:f>
        <x:v>21</x:v>
      </x:c>
      <x:c r="AL34" s="7" t="str">
        <x:v>Ineligible: no evidenced purpose</x:v>
      </x:c>
      <x:c r="AM34" s="2"/>
      <x:c r="AN34" s="2"/>
      <x:c r="AO34" s="7" t="str">
        <x:v>Industrial</x:v>
      </x:c>
      <x:c r="AP34" s="2"/>
      <x:c r="AQ34" s="7" t="str">
        <x:v>https://www.roshpinahzinc.com/
https://vedanta-zincinternational.com/what-we-do/our-operations/skorpion-zinc/
https://ourairports.com/airports/NA-0180/
https://gateway.x-plane.com/airports/FYRP/show</x:v>
      </x:c>
      <x:c r="AR34" s="7" t="str">
        <x:v>https://ourairports.com/airports/NA-0180/</x:v>
      </x:c>
      <x:c r="AS34" s="7" t="str">
        <x:v>OurAirports NA-0180 historical field point; legacy FYRP identity/closure unresolved</x:v>
      </x:c>
      <x:c r="AT34" s="7" t="str">
        <x:v>Legacy FYRP now uses NA-0180 in OurAirports; X-Plane marks old code deprecated/typically closed. Current landing status unresolved. Rosh Pinah Zinc produces; nearby Skorpion is care and maintenance. Do not conflate them.</x:v>
      </x:c>
      <x:c r="AU34" s="7" t="str">
        <x:v>https://www.openstreetmap.org/?mlat=-27.964300&amp;mlon=16.753901#map=13/-27.964300/16.753901</x:v>
      </x:c>
      <x:c r="AV34" s="7" t="str">
        <x:v>Orange River hinterland and rugged desert</x:v>
      </x:c>
      <x:c r="AW34" s="7" t="str">
        <x:v>Research label only; no invented ICAO</x:v>
      </x:c>
      <x:c r="AX34" s="2" t="str">
        <x:v>2026-10-29</x:v>
      </x:c>
    </x:row>
    <x:row r="35" ht="54" customHeight="1">
      <x:c r="A35" s="2" t="str">
        <x:v>FYOG</x:v>
      </x:c>
      <x:c r="B35" s="7" t="str">
        <x:v>Oranjemund Airport</x:v>
      </x:c>
      <x:c r="C35" s="7" t="str">
        <x:v>Industrial / Offshore</x:v>
      </x:c>
      <x:c r="D35" s="2" t="str">
        <x:v>NA-KA</x:v>
      </x:c>
      <x:c r="E35" s="7" t="str">
        <x:v>Confirmed in MSFS 2024</x:v>
      </x:c>
      <x:c r="F35" s="7" t="str">
        <x:v>Industrial: Priority validation; Offshore: Priority validation</x:v>
      </x:c>
      <x:c r="G35" s="16" t="n">
        <x:v>-28.585318</x:v>
      </x:c>
      <x:c r="H35" s="16" t="n">
        <x:v>16.44638</x:v>
      </x:c>
      <x:c r="I35" s="15" t="n">
        <x:v>14</x:v>
      </x:c>
      <x:c r="J35" s="15" t="n">
        <x:v>1600.8</x:v>
      </x:c>
      <x:c r="K35" s="15" t="n">
        <x:v>18</x:v>
      </x:c>
      <x:c r="L35" s="2" t="str">
        <x:v>ASP</x:v>
      </x:c>
      <x:c r="M35" s="2" t="str">
        <x:v>02/20</x:v>
      </x:c>
      <x:c r="N35" s="7" t="str">
        <x:v>1601 x 18 m; ASP; 02/20</x:v>
      </x:c>
      <x:c r="O35" s="7" t="str">
        <x:v>Oranjemund diamond industry and marine logistics</x:v>
      </x:c>
      <x:c r="P35" s="7" t="str">
        <x:v>Industrial: Oranjemund diamond industry and marine logistics — Urgent parts, tools, samples and specialists; aircraft-scale consignments only.
Offshore: Oranjemund diamond industry and marine logistics — Marine-industry specialist/equipment or executive airport transfer; proposed adaptation of existing airport mission types.</x:v>
      </x:c>
      <x:c r="Q35" s="7" t="str">
        <x:v>No aircraft approved by this research. Known paved runway: candidate for fleet-specific AFM/weight/density-altitude assessment.</x:v>
      </x:c>
      <x:c r="R35" s="7" t="str">
        <x:v>Identifier returned in 2026-10-27 cache; offset 0.0 NM from real-world point. Database presence only; scenery/runway uninspected.</x:v>
      </x:c>
      <x:c r="S35" s="15" t="n">
        <x:v>360.7</x:v>
      </x:c>
      <x:c r="T35" s="15" t="n">
        <x:v>350.3</x:v>
      </x:c>
      <x:c r="U35" s="2" t="n">
        <x:f>IF(S35="","",ROUNDUP(S35*1.10/'Aircraft and method'!C5*60+'Aircraft and method'!D5,0))</x:f>
        <x:v>273</x:v>
      </x:c>
      <x:c r="V35" s="2" t="n">
        <x:f>IF(S35="","",ROUNDUP(S35*1.10/'Aircraft and method'!C6*60+'Aircraft and method'!D6,0))</x:f>
        <x:v>164</x:v>
      </x:c>
      <x:c r="W35" s="2" t="n">
        <x:f>IF(S35="","",ROUNDUP(S35*1.10/'Aircraft and method'!C7*60+'Aircraft and method'!D7,0))</x:f>
        <x:v>147</x:v>
      </x:c>
      <x:c r="X35" s="2" t="n">
        <x:f>IF(S35="","",ROUNDUP(S35*1.10/'Aircraft and method'!C8*60+'Aircraft and method'!D8,0))</x:f>
        <x:v>164</x:v>
      </x:c>
      <x:c r="Y35" s="2" t="n">
        <x:f>IF(S35="","",ROUNDUP(S35*1.10/'Aircraft and method'!C9*60+'Aircraft and method'!D9,0))</x:f>
        <x:v>225</x:v>
      </x:c>
      <x:c r="Z35" s="2" t="n">
        <x:f>IF(S35="","",ROUNDUP(S35*1.10/'Aircraft and method'!C10*60+'Aircraft and method'!D10,0))</x:f>
        <x:v>304</x:v>
      </x:c>
      <x:c r="AA35" s="2" t="n">
        <x:f>IF(T35="","",ROUNDUP(T35*1.10/IF(T35&lt;60,170,'Aircraft and method'!C11)*60+IF(T35&lt;60,10,'Aircraft and method'!D11),0))</x:f>
        <x:v>121</x:v>
      </x:c>
      <x:c r="AB35" s="2" t="n">
        <x:f>IF(T35="","",ROUNDUP(T35*1.10/'Aircraft and method'!C12*60+'Aircraft and method'!D12,0))</x:f>
        <x:v>221</x:v>
      </x:c>
      <x:c r="AC35" s="7" t="str">
        <x:v>Ineligible: no evidenced purpose</x:v>
      </x:c>
      <x:c r="AD35" s="2"/>
      <x:c r="AE35" s="2"/>
      <x:c r="AF35" s="7" t="str">
        <x:v>Ineligible: no evidenced purpose</x:v>
      </x:c>
      <x:c r="AG35" s="2"/>
      <x:c r="AH35" s="2"/>
      <x:c r="AI35" s="7" t="str">
        <x:v>Eligible purpose</x:v>
      </x:c>
      <x:c r="AJ35" s="2" t="n">
        <x:f>IF(Scoring!J35="","",Scoring!J35)</x:f>
        <x:v>84</x:v>
      </x:c>
      <x:c r="AK35" s="2" t="n">
        <x:f>Scoring!P35</x:f>
        <x:v>19</x:v>
      </x:c>
      <x:c r="AL35" s="7" t="str">
        <x:v>Eligible purpose</x:v>
      </x:c>
      <x:c r="AM35" s="2" t="n">
        <x:f>IF(Scoring!J63="","",Scoring!J63)</x:f>
        <x:v>88</x:v>
      </x:c>
      <x:c r="AN35" s="2" t="n">
        <x:f>Scoring!P63</x:f>
        <x:v>19</x:v>
      </x:c>
      <x:c r="AO35" s="7" t="str">
        <x:v>Industrial; Offshore</x:v>
      </x:c>
      <x:c r="AP35" s="2" t="n">
        <x:v>0.03</x:v>
      </x:c>
      <x:c r="AQ35" s="7" t="str">
        <x:v>https://oranjemund.co/about
https://eia.meft.gov.na/screening/4310_final_updated_dbmn_2024_eia_and_emp_report_for_atlantic_1_ml_47_june_2024.pdf</x:v>
      </x:c>
      <x:c r="AR35" s="7" t="str">
        <x:v>https://ourairports.com/airports/FYOG/</x:v>
      </x:c>
      <x:c r="AS35" s="7" t="str">
        <x:v>OurAirports snapshot 2026-10-29</x:v>
      </x:c>
      <x:c r="AT35" s="7" t="str">
        <x:v>Airborne crew chain documented. Main runway only; two closed gravel runways excluded.</x:v>
      </x:c>
      <x:c r="AU35" s="7" t="str">
        <x:v>https://www.openstreetmap.org/?mlat=-28.585318&amp;mlon=16.446380#map=13/-28.585318/16.446380</x:v>
      </x:c>
      <x:c r="AV35" s="7" t="str">
        <x:v>Orange River mouth, dunes and Atlantic</x:v>
      </x:c>
      <x:c r="AW35" s="7" t="str">
        <x:v>Published identifier; reconcile with simulator</x:v>
      </x:c>
      <x:c r="AX35" s="2" t="str">
        <x:v>2026-10-29</x:v>
      </x:c>
    </x:row>
    <x:row r="36" ht="54" customHeight="1">
      <x:c r="A36" s="2" t="str">
        <x:v>FYLZ</x:v>
      </x:c>
      <x:c r="B36" s="7" t="str">
        <x:v>Luderitz Airport</x:v>
      </x:c>
      <x:c r="C36" s="7" t="str">
        <x:v>Industrial / Offshore</x:v>
      </x:c>
      <x:c r="D36" s="2" t="str">
        <x:v>NA-KA</x:v>
      </x:c>
      <x:c r="E36" s="7" t="str">
        <x:v>Confirmed in MSFS 2024</x:v>
      </x:c>
      <x:c r="F36" s="7" t="str">
        <x:v>Industrial: Priority validation; Offshore: Priority validation</x:v>
      </x:c>
      <x:c r="G36" s="16" t="n">
        <x:v>-26.687400817871094</x:v>
      </x:c>
      <x:c r="H36" s="16" t="n">
        <x:v>15.242899894714355</x:v>
      </x:c>
      <x:c r="I36" s="15" t="n">
        <x:v>457</x:v>
      </x:c>
      <x:c r="J36" s="15" t="n">
        <x:v>1830</x:v>
      </x:c>
      <x:c r="K36" s="15" t="n">
        <x:v>29.9</x:v>
      </x:c>
      <x:c r="L36" s="2" t="str">
        <x:v>ASP</x:v>
      </x:c>
      <x:c r="M36" s="2" t="str">
        <x:v>04/22</x:v>
      </x:c>
      <x:c r="N36" s="7" t="str">
        <x:v>1830 x 30 m; ASP; 04/22</x:v>
      </x:c>
      <x:c r="O36" s="7" t="str">
        <x:v>Lüderitz fishing, mining exports and offshore support port</x:v>
      </x:c>
      <x:c r="P36" s="7" t="str">
        <x:v>Industrial: Lüderitz fishing, mining exports and offshore support port — Urgent parts, tools, samples and specialists; aircraft-scale consignments only.
Offshore: Lüderitz fishing, mining exports and offshore support port — Marine-industry specialist/equipment or executive airport transfer; proposed adaptation of existing airport mission types.</x:v>
      </x:c>
      <x:c r="Q36" s="7" t="str">
        <x:v>No aircraft approved by this research. Known paved runway: candidate for fleet-specific AFM/weight/density-altitude assessment.</x:v>
      </x:c>
      <x:c r="R36" s="7" t="str">
        <x:v>Identifier returned in 2026-10-27 cache; offset 0.2 NM from real-world point. Database presence only; scenery/runway uninspected.</x:v>
      </x:c>
      <x:c r="S36" s="15" t="n">
        <x:v>264.8</x:v>
      </x:c>
      <x:c r="T36" s="15" t="n">
        <x:v>225</x:v>
      </x:c>
      <x:c r="U36" s="2" t="n">
        <x:f>IF(S36="","",ROUNDUP(S36*1.10/'Aircraft and method'!C5*60+'Aircraft and method'!D5,0))</x:f>
        <x:v>203</x:v>
      </x:c>
      <x:c r="V36" s="2" t="n">
        <x:f>IF(S36="","",ROUNDUP(S36*1.10/'Aircraft and method'!C6*60+'Aircraft and method'!D6,0))</x:f>
        <x:v>123</x:v>
      </x:c>
      <x:c r="W36" s="2" t="n">
        <x:f>IF(S36="","",ROUNDUP(S36*1.10/'Aircraft and method'!C7*60+'Aircraft and method'!D7,0))</x:f>
        <x:v>110</x:v>
      </x:c>
      <x:c r="X36" s="2" t="n">
        <x:f>IF(S36="","",ROUNDUP(S36*1.10/'Aircraft and method'!C8*60+'Aircraft and method'!D8,0))</x:f>
        <x:v>123</x:v>
      </x:c>
      <x:c r="Y36" s="2" t="n">
        <x:f>IF(S36="","",ROUNDUP(S36*1.10/'Aircraft and method'!C9*60+'Aircraft and method'!D9,0))</x:f>
        <x:v>167</x:v>
      </x:c>
      <x:c r="Z36" s="2" t="n">
        <x:f>IF(S36="","",ROUNDUP(S36*1.10/'Aircraft and method'!C10*60+'Aircraft and method'!D10,0))</x:f>
        <x:v>225</x:v>
      </x:c>
      <x:c r="AA36" s="2" t="n">
        <x:f>IF(T36="","",ROUNDUP(T36*1.10/IF(T36&lt;60,170,'Aircraft and method'!C11)*60+IF(T36&lt;60,10,'Aircraft and method'!D11),0))</x:f>
        <x:v>83</x:v>
      </x:c>
      <x:c r="AB36" s="2" t="n">
        <x:f>IF(T36="","",ROUNDUP(T36*1.10/'Aircraft and method'!C12*60+'Aircraft and method'!D12,0))</x:f>
        <x:v>146</x:v>
      </x:c>
      <x:c r="AC36" s="7" t="str">
        <x:v>Ineligible: no evidenced purpose</x:v>
      </x:c>
      <x:c r="AD36" s="2"/>
      <x:c r="AE36" s="2"/>
      <x:c r="AF36" s="7" t="str">
        <x:v>Ineligible: no evidenced purpose</x:v>
      </x:c>
      <x:c r="AG36" s="2"/>
      <x:c r="AH36" s="2"/>
      <x:c r="AI36" s="7" t="str">
        <x:v>Eligible purpose</x:v>
      </x:c>
      <x:c r="AJ36" s="2" t="n">
        <x:f>IF(Scoring!J36="","",Scoring!J36)</x:f>
        <x:v>92</x:v>
      </x:c>
      <x:c r="AK36" s="2" t="n">
        <x:f>Scoring!P36</x:f>
        <x:v>20</x:v>
      </x:c>
      <x:c r="AL36" s="7" t="str">
        <x:v>Eligible purpose</x:v>
      </x:c>
      <x:c r="AM36" s="2" t="n">
        <x:f>IF(Scoring!J62="","",Scoring!J62)</x:f>
        <x:v>96</x:v>
      </x:c>
      <x:c r="AN36" s="2" t="n">
        <x:f>Scoring!P62</x:f>
        <x:v>20</x:v>
      </x:c>
      <x:c r="AO36" s="7" t="str">
        <x:v>Industrial; Offshore</x:v>
      </x:c>
      <x:c r="AP36" s="2" t="n">
        <x:v>0.19</x:v>
      </x:c>
      <x:c r="AQ36" s="7" t="str">
        <x:v>https://www.namport.com.na/port-of-luderitz/welcome-to-the-port-of-luderitz/330/</x:v>
      </x:c>
      <x:c r="AR36" s="7" t="str">
        <x:v>https://ourairports.com/airports/FYLZ/</x:v>
      </x:c>
      <x:c r="AS36" s="7" t="str">
        <x:v>OurAirports snapshot 2026-10-29</x:v>
      </x:c>
      <x:c r="AT36" s="7" t="str">
        <x:v>High-value dual-career hub. Airport to port needs road transfer; no airport deck assumed.</x:v>
      </x:c>
      <x:c r="AU36" s="7" t="str">
        <x:v>https://www.openstreetmap.org/?mlat=-26.687401&amp;mlon=15.242900#map=13/-26.687401/15.242900</x:v>
      </x:c>
      <x:c r="AV36" s="7" t="str">
        <x:v>Rugged Atlantic coast, bays and desert</x:v>
      </x:c>
      <x:c r="AW36" s="7" t="str">
        <x:v>Published identifier; reconcile with simulator</x:v>
      </x:c>
      <x:c r="AX36" s="2" t="str">
        <x:v>2026-10-29</x:v>
      </x:c>
    </x:row>
    <x:row r="37" ht="54" customHeight="1">
      <x:c r="A37" s="2" t="str">
        <x:v>FYGF</x:v>
      </x:c>
      <x:c r="B37" s="7" t="str">
        <x:v>Grootfontein Airport</x:v>
      </x:c>
      <x:c r="C37" s="7" t="str"/>
      <x:c r="D37" s="2" t="str">
        <x:v>NA-OD</x:v>
      </x:c>
      <x:c r="E37" s="7" t="str">
        <x:v>Confirmed in MSFS 2024</x:v>
      </x:c>
      <x:c r="F37" s="7" t="str">
        <x:v>Industrial: Research hold</x:v>
      </x:c>
      <x:c r="G37" s="16" t="n">
        <x:v>-19.6022</x:v>
      </x:c>
      <x:c r="H37" s="16" t="n">
        <x:v>18.1227</x:v>
      </x:c>
      <x:c r="I37" s="15" t="n">
        <x:v>4636</x:v>
      </x:c>
      <x:c r="J37" s="15" t="n">
        <x:v>3560.1</x:v>
      </x:c>
      <x:c r="K37" s="15" t="n">
        <x:v>45.1</x:v>
      </x:c>
      <x:c r="L37" s="2" t="str">
        <x:v>ASP</x:v>
      </x:c>
      <x:c r="M37" s="2" t="str">
        <x:v>08/26</x:v>
      </x:c>
      <x:c r="N37" s="7" t="str">
        <x:v>3560 x 45 m; ASP; 08/26</x:v>
      </x:c>
      <x:c r="O37" s="7" t="str">
        <x:v>Grootfontein regional logistics</x:v>
      </x:c>
      <x:c r="P37" s="7" t="str">
        <x:v>Industrial: Grootfontein regional logistics — Urgent parts, tools, samples and specialists; aircraft-scale consignments only.</x:v>
      </x:c>
      <x:c r="Q37" s="7" t="str">
        <x:v>No aircraft approved by this research. Known paved runway: candidate for fleet-specific AFM/weight/density-altitude assessment.</x:v>
      </x:c>
      <x:c r="R37" s="7" t="str">
        <x:v>Identifier returned in 2026-10-27 cache; offset 0.6 NM from real-world point. Database presence only; scenery/runway uninspected.</x:v>
      </x:c>
      <x:c r="S37" s="15" t="n">
        <x:v>189.5</x:v>
      </x:c>
      <x:c r="T37" s="15" t="n">
        <x:v>281</x:v>
      </x:c>
      <x:c r="U37" s="2" t="n">
        <x:f>IF(S37="","",ROUNDUP(S37*1.10/'Aircraft and method'!C5*60+'Aircraft and method'!D5,0))</x:f>
        <x:v>147</x:v>
      </x:c>
      <x:c r="V37" s="2" t="n">
        <x:f>IF(S37="","",ROUNDUP(S37*1.10/'Aircraft and method'!C6*60+'Aircraft and method'!D6,0))</x:f>
        <x:v>91</x:v>
      </x:c>
      <x:c r="W37" s="2" t="n">
        <x:f>IF(S37="","",ROUNDUP(S37*1.10/'Aircraft and method'!C7*60+'Aircraft and method'!D7,0))</x:f>
        <x:v>82</x:v>
      </x:c>
      <x:c r="X37" s="2" t="n">
        <x:f>IF(S37="","",ROUNDUP(S37*1.10/'Aircraft and method'!C8*60+'Aircraft and method'!D8,0))</x:f>
        <x:v>91</x:v>
      </x:c>
      <x:c r="Y37" s="2" t="n">
        <x:f>IF(S37="","",ROUNDUP(S37*1.10/'Aircraft and method'!C9*60+'Aircraft and method'!D9,0))</x:f>
        <x:v>122</x:v>
      </x:c>
      <x:c r="Z37" s="2" t="n">
        <x:f>IF(S37="","",ROUNDUP(S37*1.10/'Aircraft and method'!C10*60+'Aircraft and method'!D10,0))</x:f>
        <x:v>163</x:v>
      </x:c>
      <x:c r="AA37" s="2" t="n">
        <x:f>IF(T37="","",ROUNDUP(T37*1.10/IF(T37&lt;60,170,'Aircraft and method'!C11)*60+IF(T37&lt;60,10,'Aircraft and method'!D11),0))</x:f>
        <x:v>100</x:v>
      </x:c>
      <x:c r="AB37" s="2" t="n">
        <x:f>IF(T37="","",ROUNDUP(T37*1.10/'Aircraft and method'!C12*60+'Aircraft and method'!D12,0))</x:f>
        <x:v>179</x:v>
      </x:c>
      <x:c r="AC37" s="7" t="str">
        <x:v>Ineligible: no evidenced purpose</x:v>
      </x:c>
      <x:c r="AD37" s="2"/>
      <x:c r="AE37" s="2"/>
      <x:c r="AF37" s="7" t="str">
        <x:v>Ineligible: no evidenced purpose</x:v>
      </x:c>
      <x:c r="AG37" s="2"/>
      <x:c r="AH37" s="2"/>
      <x:c r="AI37" s="7" t="str">
        <x:v>Ineligible purpose</x:v>
      </x:c>
      <x:c r="AJ37" s="2" t="str">
        <x:f>IF(Scoring!J37="","",Scoring!J37)</x:f>
      </x:c>
      <x:c r="AK37" s="2" t="n">
        <x:f>Scoring!P37</x:f>
        <x:v>11</x:v>
      </x:c>
      <x:c r="AL37" s="7" t="str">
        <x:v>Ineligible: no evidenced purpose</x:v>
      </x:c>
      <x:c r="AM37" s="2"/>
      <x:c r="AN37" s="2"/>
      <x:c r="AO37" s="7" t="str">
        <x:v>Industrial</x:v>
      </x:c>
      <x:c r="AP37" s="2" t="n">
        <x:v>0.62</x:v>
      </x:c>
      <x:c r="AQ37" s="7" t="str">
        <x:v>https://eia.meft.gov.na/screening/5728_esa_report_ml_271_reduced.pdf</x:v>
      </x:c>
      <x:c r="AR37" s="7" t="str">
        <x:v>https://ourairports.com/airports/FYGF/</x:v>
      </x:c>
      <x:c r="AS37" s="7" t="str">
        <x:v>OurAirports snapshot 2026-10-29</x:v>
      </x:c>
      <x:c r="AT37" s="7" t="str">
        <x:v>Existing pool member, but no specific industrial customer established in this pass; military access and purpose need research.</x:v>
      </x:c>
      <x:c r="AU37" s="7" t="str">
        <x:v>https://www.openstreetmap.org/?mlat=-19.602200&amp;mlon=18.122700#map=13/-19.602200/18.122700</x:v>
      </x:c>
      <x:c r="AV37" s="7" t="str">
        <x:v>Northern savanna and logistics town</x:v>
      </x:c>
      <x:c r="AW37" s="7" t="str">
        <x:v>Published identifier; reconcile with simulator</x:v>
      </x:c>
      <x:c r="AX37" s="2" t="str">
        <x:v>2026-10-29</x:v>
      </x:c>
    </x:row>
    <x:row r="38" ht="54" customHeight="1">
      <x:c r="A38" s="2" t="str">
        <x:v>FYNG</x:v>
      </x:c>
      <x:c r="B38" s="7" t="str">
        <x:v>Ongava Lodge Airstrip</x:v>
      </x:c>
      <x:c r="C38" s="7" t="str">
        <x:v>Safari</x:v>
      </x:c>
      <x:c r="D38" s="2" t="str">
        <x:v>NA-KU</x:v>
      </x:c>
      <x:c r="E38" s="7" t="str">
        <x:v>Partially verified</x:v>
      </x:c>
      <x:c r="F38" s="7" t="str">
        <x:v>Safari: Hold: identifier/location conflict</x:v>
      </x:c>
      <x:c r="G38" s="16" t="n">
        <x:v>-19.328533</x:v>
      </x:c>
      <x:c r="H38" s="16" t="n">
        <x:v>15.915003</x:v>
      </x:c>
      <x:c r="I38" s="15" t="n">
        <x:v>3740</x:v>
      </x:c>
      <x:c r="J38" s="15"/>
      <x:c r="K38" s="15"/>
      <x:c r="L38" s="2" t="str">
        <x:v>Unknown</x:v>
      </x:c>
      <x:c r="M38" s="2" t="str">
        <x:v>Unknown</x:v>
      </x:c>
      <x:c r="N38" s="7" t="str">
        <x:v>1200 m length (operator); width/surface/orientation unverified</x:v>
      </x:c>
      <x:c r="O38" s="7" t="str">
        <x:v>Ongava Private Game Reserve and lodges</x:v>
      </x:c>
      <x:c r="P38" s="7" t="str">
        <x:v>Safari: Ongava Private Game Reserve and lodges — Lodge/park staff, supplies and conservation equipment now; guest transport only through separately approved passenger capability.</x:v>
      </x:c>
      <x:c r="Q38" s="7" t="str">
        <x:v>No aircraft approved by this research. Unknown/conflicting field data: hold performance clearance; assess each type separately.</x:v>
      </x:c>
      <x:c r="R38" s="7" t="str">
        <x:v>Identifier returned in 2026-10-27 cache; offset 317.6 NM from real-world point. WRONG-LOCATION ASSOCIATION; hold.</x:v>
      </x:c>
      <x:c r="S38" s="15" t="n">
        <x:v>207.3</x:v>
      </x:c>
      <x:c r="T38" s="15" t="n">
        <x:v>230.5</x:v>
      </x:c>
      <x:c r="U38" s="2" t="n">
        <x:f>IF(S38="","",ROUNDUP(S38*1.10/'Aircraft and method'!C5*60+'Aircraft and method'!D5,0))</x:f>
        <x:v>161</x:v>
      </x:c>
      <x:c r="V38" s="2" t="n">
        <x:f>IF(S38="","",ROUNDUP(S38*1.10/'Aircraft and method'!C6*60+'Aircraft and method'!D6,0))</x:f>
        <x:v>99</x:v>
      </x:c>
      <x:c r="W38" s="2" t="n">
        <x:f>IF(S38="","",ROUNDUP(S38*1.10/'Aircraft and method'!C7*60+'Aircraft and method'!D7,0))</x:f>
        <x:v>89</x:v>
      </x:c>
      <x:c r="X38" s="2" t="n">
        <x:f>IF(S38="","",ROUNDUP(S38*1.10/'Aircraft and method'!C8*60+'Aircraft and method'!D8,0))</x:f>
        <x:v>99</x:v>
      </x:c>
      <x:c r="Y38" s="2" t="n">
        <x:f>IF(S38="","",ROUNDUP(S38*1.10/'Aircraft and method'!C9*60+'Aircraft and method'!D9,0))</x:f>
        <x:v>133</x:v>
      </x:c>
      <x:c r="Z38" s="2" t="n">
        <x:f>IF(S38="","",ROUNDUP(S38*1.10/'Aircraft and method'!C10*60+'Aircraft and method'!D10,0))</x:f>
        <x:v>178</x:v>
      </x:c>
      <x:c r="AA38" s="2" t="n">
        <x:f>IF(T38="","",ROUNDUP(T38*1.10/IF(T38&lt;60,170,'Aircraft and method'!C11)*60+IF(T38&lt;60,10,'Aircraft and method'!D11),0))</x:f>
        <x:v>85</x:v>
      </x:c>
      <x:c r="AB38" s="2" t="n">
        <x:f>IF(T38="","",ROUNDUP(T38*1.10/'Aircraft and method'!C12*60+'Aircraft and method'!D12,0))</x:f>
        <x:v>149</x:v>
      </x:c>
      <x:c r="AC38" s="7" t="str">
        <x:v>Ineligible: no evidenced purpose</x:v>
      </x:c>
      <x:c r="AD38" s="2"/>
      <x:c r="AE38" s="2"/>
      <x:c r="AF38" s="7" t="str">
        <x:v>Eligible purpose</x:v>
      </x:c>
      <x:c r="AG38" s="2" t="n">
        <x:f>IF(Scoring!J38="","",Scoring!J38)</x:f>
        <x:v>94</x:v>
      </x:c>
      <x:c r="AH38" s="2" t="n">
        <x:f>Scoring!P38</x:f>
        <x:v>16</x:v>
      </x:c>
      <x:c r="AI38" s="7" t="str">
        <x:v>Ineligible: no evidenced purpose</x:v>
      </x:c>
      <x:c r="AJ38" s="2"/>
      <x:c r="AK38" s="2"/>
      <x:c r="AL38" s="7" t="str">
        <x:v>Ineligible: no evidenced purpose</x:v>
      </x:c>
      <x:c r="AM38" s="2"/>
      <x:c r="AN38" s="2"/>
      <x:c r="AO38" s="7" t="str">
        <x:v>Safari</x:v>
      </x:c>
      <x:c r="AP38" s="2" t="n">
        <x:v>317.64</x:v>
      </x:c>
      <x:c r="AQ38" s="7" t="str">
        <x:v>https://www.ongava.com/stay/getting-to-ongava</x:v>
      </x:c>
      <x:c r="AR38" s="7" t="str">
        <x:v>https://ourairports.com/airports/FYNG/</x:v>
      </x:c>
      <x:c r="AS38" s="7" t="str">
        <x:v>OurAirports snapshot 2026-10-29</x:v>
      </x:c>
      <x:c r="AT38" s="7" t="str">
        <x:v>Operator confirms 1,200 m strip; cached FYNG instead lies near Betesda in southern Namibia. Hold simulator association.</x:v>
      </x:c>
      <x:c r="AU38" s="7" t="str">
        <x:v>https://www.openstreetmap.org/?mlat=-19.328533&amp;mlon=15.915003#map=13/-19.328533/15.915003</x:v>
      </x:c>
      <x:c r="AV38" s="7" t="str">
        <x:v>Etosha fringe and mopane woodland</x:v>
      </x:c>
      <x:c r="AW38" s="7" t="str">
        <x:v>Published identifier; reconcile with simulator</x:v>
      </x:c>
      <x:c r="AX38" s="2" t="str">
        <x:v>2026-10-29</x:v>
      </x:c>
    </x:row>
    <x:row r="39" ht="68" customHeight="1">
      <x:c r="A39" s="2" t="str">
        <x:v>FYMO</x:v>
      </x:c>
      <x:c r="B39" s="7" t="str">
        <x:v>Mokuti Lodge Airport</x:v>
      </x:c>
      <x:c r="C39" s="7" t="str">
        <x:v>Safari</x:v>
      </x:c>
      <x:c r="D39" s="2" t="str">
        <x:v>NA-OT</x:v>
      </x:c>
      <x:c r="E39" s="7" t="str">
        <x:v>Confirmed in MSFS 2024</x:v>
      </x:c>
      <x:c r="F39" s="7" t="str">
        <x:v>Safari: Priority validation</x:v>
      </x:c>
      <x:c r="G39" s="16" t="n">
        <x:v>-18.812799</x:v>
      </x:c>
      <x:c r="H39" s="16" t="n">
        <x:v>17.059401</x:v>
      </x:c>
      <x:c r="I39" s="15" t="n">
        <x:v>3665</x:v>
      </x:c>
      <x:c r="J39" s="15"/>
      <x:c r="K39" s="15"/>
      <x:c r="L39" s="2" t="str">
        <x:v>Unknown</x:v>
      </x:c>
      <x:c r="M39" s="2" t="str">
        <x:v>Unknown</x:v>
      </x:c>
      <x:c r="N39" s="7" t="str">
        <x:v>2200 x 30 m; historical mixed concrete/gravel; 08/26; confirm present usable length</x:v>
      </x:c>
      <x:c r="O39" s="7" t="str">
        <x:v>Mokuti / Onguma tourism transfer</x:v>
      </x:c>
      <x:c r="P39" s="7" t="str">
        <x:v>Safari: Mokuti / Onguma tourism transfer — Lodge/park staff, supplies and conservation equipment now; guest transport only through separately approved passenger capability.</x:v>
      </x:c>
      <x:c r="Q39" s="7" t="str">
        <x:v>No aircraft approved by this research. Unknown/conflicting field data: hold performance clearance; assess each type separately.</x:v>
      </x:c>
      <x:c r="R39" s="7" t="str">
        <x:v>Identifier returned in 2026-10-27 cache; offset 0.4 NM from real-world point. Database presence only; scenery/runway uninspected.</x:v>
      </x:c>
      <x:c r="S39" s="15" t="n">
        <x:v>227.7</x:v>
      </x:c>
      <x:c r="T39" s="15" t="n">
        <x:v>284.5</x:v>
      </x:c>
      <x:c r="U39" s="2" t="n">
        <x:f>IF(S39="","",ROUNDUP(S39*1.10/'Aircraft and method'!C5*60+'Aircraft and method'!D5,0))</x:f>
        <x:v>175</x:v>
      </x:c>
      <x:c r="V39" s="2" t="n">
        <x:f>IF(S39="","",ROUNDUP(S39*1.10/'Aircraft and method'!C6*60+'Aircraft and method'!D6,0))</x:f>
        <x:v>107</x:v>
      </x:c>
      <x:c r="W39" s="2" t="n">
        <x:f>IF(S39="","",ROUNDUP(S39*1.10/'Aircraft and method'!C7*60+'Aircraft and method'!D7,0))</x:f>
        <x:v>96</x:v>
      </x:c>
      <x:c r="X39" s="2" t="n">
        <x:f>IF(S39="","",ROUNDUP(S39*1.10/'Aircraft and method'!C8*60+'Aircraft and method'!D8,0))</x:f>
        <x:v>107</x:v>
      </x:c>
      <x:c r="Y39" s="2" t="n">
        <x:f>IF(S39="","",ROUNDUP(S39*1.10/'Aircraft and method'!C9*60+'Aircraft and method'!D9,0))</x:f>
        <x:v>145</x:v>
      </x:c>
      <x:c r="Z39" s="2" t="n">
        <x:f>IF(S39="","",ROUNDUP(S39*1.10/'Aircraft and method'!C10*60+'Aircraft and method'!D10,0))</x:f>
        <x:v>194</x:v>
      </x:c>
      <x:c r="AA39" s="2" t="n">
        <x:f>IF(T39="","",ROUNDUP(T39*1.10/IF(T39&lt;60,170,'Aircraft and method'!C11)*60+IF(T39&lt;60,10,'Aircraft and method'!D11),0))</x:f>
        <x:v>101</x:v>
      </x:c>
      <x:c r="AB39" s="2" t="n">
        <x:f>IF(T39="","",ROUNDUP(T39*1.10/'Aircraft and method'!C12*60+'Aircraft and method'!D12,0))</x:f>
        <x:v>181</x:v>
      </x:c>
      <x:c r="AC39" s="7" t="str">
        <x:v>Ineligible: no evidenced purpose</x:v>
      </x:c>
      <x:c r="AD39" s="2"/>
      <x:c r="AE39" s="2"/>
      <x:c r="AF39" s="7" t="str">
        <x:v>Eligible purpose</x:v>
      </x:c>
      <x:c r="AG39" s="2" t="n">
        <x:f>IF(Scoring!J39="","",Scoring!J39)</x:f>
        <x:v>90</x:v>
      </x:c>
      <x:c r="AH39" s="2" t="n">
        <x:f>Scoring!P39</x:f>
        <x:v>16</x:v>
      </x:c>
      <x:c r="AI39" s="7" t="str">
        <x:v>Ineligible: no evidenced purpose</x:v>
      </x:c>
      <x:c r="AJ39" s="2"/>
      <x:c r="AK39" s="2"/>
      <x:c r="AL39" s="7" t="str">
        <x:v>Ineligible: no evidenced purpose</x:v>
      </x:c>
      <x:c r="AM39" s="2"/>
      <x:c r="AN39" s="2"/>
      <x:c r="AO39" s="7" t="str">
        <x:v>Safari</x:v>
      </x:c>
      <x:c r="AP39" s="2" t="n">
        <x:v>0.44</x:v>
      </x:c>
      <x:c r="AQ39" s="7" t="str">
        <x:v>https://onguma.com/wp-content/uploads/2025/03/Trails-Camp-Fact-Sheet-2026-2.pdf
https://stwetuproduction.blob.core.windows.net/azure-blob-resources-wetu-production/Resources/10525%2FMokuti-FactSheet-LowRes.pdf</x:v>
      </x:c>
      <x:c r="AR39" s="7" t="str">
        <x:v>https://ourairports.com/airports/FYMO/</x:v>
      </x:c>
      <x:c r="AS39" s="7" t="str">
        <x:v>OurAirports snapshot 2026-10-29</x:v>
      </x:c>
      <x:c r="AT39" s="7" t="str">
        <x:v>Historical Mokuti factsheet: 2200 x 30 m, approx first 1500 m concrete from 08, remaining gravel, 08/26, daylight only; recency and usable declared distances need verification.</x:v>
      </x:c>
      <x:c r="AU39" s="7" t="str">
        <x:v>https://www.openstreetmap.org/?mlat=-18.812799&amp;mlon=17.059401#map=13/-18.812799/17.059401</x:v>
      </x:c>
      <x:c r="AV39" s="7" t="str">
        <x:v>Eastern Etosha woodland and wildlife country</x:v>
      </x:c>
      <x:c r="AW39" s="7" t="str">
        <x:v>Published identifier; reconcile with simulator</x:v>
      </x:c>
      <x:c r="AX39" s="2" t="str">
        <x:v>2026-10-29</x:v>
      </x:c>
    </x:row>
    <x:row r="40" ht="68" customHeight="1">
      <x:c r="A40" s="2" t="str">
        <x:v>FYTF</x:v>
      </x:c>
      <x:c r="B40" s="7" t="str">
        <x:v>Twyfelfontein Airport</x:v>
      </x:c>
      <x:c r="C40" s="7" t="str">
        <x:v>Safari</x:v>
      </x:c>
      <x:c r="D40" s="2" t="str">
        <x:v>NA-KU</x:v>
      </x:c>
      <x:c r="E40" s="7" t="str">
        <x:v>Confirmed real-world destination; MSFS status unverified</x:v>
      </x:c>
      <x:c r="F40" s="7" t="str">
        <x:v>Safari: Priority validation</x:v>
      </x:c>
      <x:c r="G40" s="16" t="n">
        <x:v>-20.54424</x:v>
      </x:c>
      <x:c r="H40" s="16" t="n">
        <x:v>14.35879</x:v>
      </x:c>
      <x:c r="I40" s="15" t="n">
        <x:v>1772</x:v>
      </x:c>
      <x:c r="J40" s="15" t="n">
        <x:v>1996.4</x:v>
      </x:c>
      <x:c r="K40" s="15" t="n">
        <x:v>25</x:v>
      </x:c>
      <x:c r="L40" s="2" t="str">
        <x:v>ASP</x:v>
      </x:c>
      <x:c r="M40" s="2" t="str">
        <x:v>10/28</x:v>
      </x:c>
      <x:c r="N40" s="7" t="str">
        <x:v>1996 m asphalt (OurAirports) vs 2200 m gravel (operator); width 25 m in database; orientation 10/28 in database</x:v>
      </x:c>
      <x:c r="O40" s="7" t="str">
        <x:v>Twyfelfontein Country Lodge and rock-art access</x:v>
      </x:c>
      <x:c r="P40" s="7" t="str">
        <x:v>Safari: Twyfelfontein Country Lodge and rock-art access — Lodge/park staff, supplies and conservation equipment now; guest transport only through separately approved passenger capability.</x:v>
      </x:c>
      <x:c r="Q40" s="7" t="str">
        <x:v>No aircraft approved by this research. Unknown/conflicting field data: hold performance clearance; assess each type separately.</x:v>
      </x:c>
      <x:c r="R40" s="7" t="str">
        <x:v>Not returned by 2026-10-16 published scan or 2026-10-27 cached scan; no new query. Search by geography/alternate identifier before custom scenery.</x:v>
      </x:c>
      <x:c r="S40" s="15" t="n">
        <x:v>195.9</x:v>
      </x:c>
      <x:c r="T40" s="15" t="n">
        <x:v>147.1</x:v>
      </x:c>
      <x:c r="U40" s="2" t="n">
        <x:f>IF(S40="","",ROUNDUP(S40*1.10/'Aircraft and method'!C5*60+'Aircraft and method'!D5,0))</x:f>
        <x:v>152</x:v>
      </x:c>
      <x:c r="V40" s="2" t="n">
        <x:f>IF(S40="","",ROUNDUP(S40*1.10/'Aircraft and method'!C6*60+'Aircraft and method'!D6,0))</x:f>
        <x:v>94</x:v>
      </x:c>
      <x:c r="W40" s="2" t="n">
        <x:f>IF(S40="","",ROUNDUP(S40*1.10/'Aircraft and method'!C7*60+'Aircraft and method'!D7,0))</x:f>
        <x:v>84</x:v>
      </x:c>
      <x:c r="X40" s="2" t="n">
        <x:f>IF(S40="","",ROUNDUP(S40*1.10/'Aircraft and method'!C8*60+'Aircraft and method'!D8,0))</x:f>
        <x:v>94</x:v>
      </x:c>
      <x:c r="Y40" s="2" t="n">
        <x:f>IF(S40="","",ROUNDUP(S40*1.10/'Aircraft and method'!C9*60+'Aircraft and method'!D9,0))</x:f>
        <x:v>126</x:v>
      </x:c>
      <x:c r="Z40" s="2" t="n">
        <x:f>IF(S40="","",ROUNDUP(S40*1.10/'Aircraft and method'!C10*60+'Aircraft and method'!D10,0))</x:f>
        <x:v>168</x:v>
      </x:c>
      <x:c r="AA40" s="2" t="n">
        <x:f>IF(T40="","",ROUNDUP(T40*1.10/IF(T40&lt;60,170,'Aircraft and method'!C11)*60+IF(T40&lt;60,10,'Aircraft and method'!D11),0))</x:f>
        <x:v>60</x:v>
      </x:c>
      <x:c r="AB40" s="2" t="n">
        <x:f>IF(T40="","",ROUNDUP(T40*1.10/'Aircraft and method'!C12*60+'Aircraft and method'!D12,0))</x:f>
        <x:v>99</x:v>
      </x:c>
      <x:c r="AC40" s="7" t="str">
        <x:v>Ineligible: no evidenced purpose</x:v>
      </x:c>
      <x:c r="AD40" s="2"/>
      <x:c r="AE40" s="2"/>
      <x:c r="AF40" s="7" t="str">
        <x:v>Eligible purpose</x:v>
      </x:c>
      <x:c r="AG40" s="2" t="n">
        <x:f>IF(Scoring!J40="","",Scoring!J40)</x:f>
        <x:v>91</x:v>
      </x:c>
      <x:c r="AH40" s="2" t="n">
        <x:f>Scoring!P40</x:f>
        <x:v>20</x:v>
      </x:c>
      <x:c r="AI40" s="7" t="str">
        <x:v>Ineligible: no evidenced purpose</x:v>
      </x:c>
      <x:c r="AJ40" s="2"/>
      <x:c r="AK40" s="2"/>
      <x:c r="AL40" s="7" t="str">
        <x:v>Ineligible: no evidenced purpose</x:v>
      </x:c>
      <x:c r="AM40" s="2"/>
      <x:c r="AN40" s="2"/>
      <x:c r="AO40" s="7" t="str">
        <x:v>Safari</x:v>
      </x:c>
      <x:c r="AP40" s="2"/>
      <x:c r="AQ40" s="7" t="str">
        <x:v>https://the-eis.com/elibrary/sites/default/files/downloads/literature/1579_EMP_Twyfelfontein%20Country%20Lodge.pdf
https://www.afrozapping.com/wp-content/uploads/2025/04/twyfelfontein-country-lodge.pdf</x:v>
      </x:c>
      <x:c r="AR40" s="7" t="str">
        <x:v>https://ourairports.com/airports/FYTF/</x:v>
      </x:c>
      <x:c r="AS40" s="7" t="str">
        <x:v>OurAirports snapshot 2026-10-29</x:v>
      </x:c>
      <x:c r="AT40" s="7" t="str">
        <x:v>Official EMP links lodge guest/flood access to strip 3 km north. Conflict: OurAirports approx 1996 m asphalt vs operator 2200 m gravel. Absent in recorded simulator list.</x:v>
      </x:c>
      <x:c r="AU40" s="7" t="str">
        <x:v>https://www.openstreetmap.org/?mlat=-20.544240&amp;mlon=14.358790#map=13/-20.544240/14.358790</x:v>
      </x:c>
      <x:c r="AV40" s="7" t="str">
        <x:v>Damaraland red-rock hills</x:v>
      </x:c>
      <x:c r="AW40" s="7" t="str">
        <x:v>Published identifier; reconcile with simulator</x:v>
      </x:c>
      <x:c r="AX40" s="2" t="str">
        <x:v>2026-10-29</x:v>
      </x:c>
    </x:row>
    <x:row r="41" ht="54" customHeight="1">
      <x:c r="A41" s="2" t="str">
        <x:v>NA-0030</x:v>
      </x:c>
      <x:c r="B41" s="7" t="str">
        <x:v>Kerweder Airport</x:v>
      </x:c>
      <x:c r="C41" s="7" t="str">
        <x:v>Safari</x:v>
      </x:c>
      <x:c r="D41" s="2" t="str">
        <x:v>NA-HA</x:v>
      </x:c>
      <x:c r="E41" s="7" t="str">
        <x:v>Confirmed real-world destination; MSFS status unverified</x:v>
      </x:c>
      <x:c r="F41" s="7" t="str">
        <x:v>Safari: Priority validation</x:v>
      </x:c>
      <x:c r="G41" s="16" t="n">
        <x:v>-24.96310043334961</x:v>
      </x:c>
      <x:c r="H41" s="16" t="n">
        <x:v>16.013599395751953</x:v>
      </x:c>
      <x:c r="I41" s="15" t="n">
        <x:v>3179</x:v>
      </x:c>
      <x:c r="J41" s="15"/>
      <x:c r="K41" s="15"/>
      <x:c r="L41" s="2" t="str">
        <x:v>Unknown</x:v>
      </x:c>
      <x:c r="M41" s="2" t="str">
        <x:v>Unknown</x:v>
      </x:c>
      <x:c r="N41" s="7" t="str">
        <x:v>Runway dimensions, width, surface and orientation not established in this pass</x:v>
      </x:c>
      <x:c r="O41" s="7" t="str">
        <x:v>Keerweder / Wolwedans transfer</x:v>
      </x:c>
      <x:c r="P41" s="7" t="str">
        <x:v>Safari: Keerweder / Wolwedans transfer — Lodge/park staff, supplies and conservation equipment now; guest transport only through separately approved passenger capability.</x:v>
      </x:c>
      <x:c r="Q41" s="7" t="str">
        <x:v>No aircraft approved by this research. Unknown/conflicting field data: hold performance clearance; assess each type separately.</x:v>
      </x:c>
      <x:c r="R41" s="7" t="str">
        <x:v>Not queried by this cache; absence cannot be inferred.</x:v>
      </x:c>
      <x:c r="S41" s="15" t="n">
        <x:v>153.2</x:v>
      </x:c>
      <x:c r="T41" s="15" t="n">
        <x:v>140.8</x:v>
      </x:c>
      <x:c r="U41" s="2" t="n">
        <x:f>IF(S41="","",ROUNDUP(S41*1.10/'Aircraft and method'!C5*60+'Aircraft and method'!D5,0))</x:f>
        <x:v>121</x:v>
      </x:c>
      <x:c r="V41" s="2" t="n">
        <x:f>IF(S41="","",ROUNDUP(S41*1.10/'Aircraft and method'!C6*60+'Aircraft and method'!D6,0))</x:f>
        <x:v>76</x:v>
      </x:c>
      <x:c r="W41" s="2" t="n">
        <x:f>IF(S41="","",ROUNDUP(S41*1.10/'Aircraft and method'!C7*60+'Aircraft and method'!D7,0))</x:f>
        <x:v>68</x:v>
      </x:c>
      <x:c r="X41" s="2" t="n">
        <x:f>IF(S41="","",ROUNDUP(S41*1.10/'Aircraft and method'!C8*60+'Aircraft and method'!D8,0))</x:f>
        <x:v>76</x:v>
      </x:c>
      <x:c r="Y41" s="2" t="n">
        <x:f>IF(S41="","",ROUNDUP(S41*1.10/'Aircraft and method'!C9*60+'Aircraft and method'!D9,0))</x:f>
        <x:v>100</x:v>
      </x:c>
      <x:c r="Z41" s="2" t="n">
        <x:f>IF(S41="","",ROUNDUP(S41*1.10/'Aircraft and method'!C10*60+'Aircraft and method'!D10,0))</x:f>
        <x:v>133</x:v>
      </x:c>
      <x:c r="AA41" s="2" t="n">
        <x:f>IF(T41="","",ROUNDUP(T41*1.10/IF(T41&lt;60,170,'Aircraft and method'!C11)*60+IF(T41&lt;60,10,'Aircraft and method'!D11),0))</x:f>
        <x:v>58</x:v>
      </x:c>
      <x:c r="AB41" s="2" t="n">
        <x:f>IF(T41="","",ROUNDUP(T41*1.10/'Aircraft and method'!C12*60+'Aircraft and method'!D12,0))</x:f>
        <x:v>95</x:v>
      </x:c>
      <x:c r="AC41" s="7" t="str">
        <x:v>Ineligible: no evidenced purpose</x:v>
      </x:c>
      <x:c r="AD41" s="2"/>
      <x:c r="AE41" s="2"/>
      <x:c r="AF41" s="7" t="str">
        <x:v>Eligible purpose</x:v>
      </x:c>
      <x:c r="AG41" s="2" t="n">
        <x:f>IF(Scoring!J41="","",Scoring!J41)</x:f>
        <x:v>83</x:v>
      </x:c>
      <x:c r="AH41" s="2" t="n">
        <x:f>Scoring!P41</x:f>
        <x:v>22</x:v>
      </x:c>
      <x:c r="AI41" s="7" t="str">
        <x:v>Ineligible: no evidenced purpose</x:v>
      </x:c>
      <x:c r="AJ41" s="2"/>
      <x:c r="AK41" s="2"/>
      <x:c r="AL41" s="7" t="str">
        <x:v>Ineligible: no evidenced purpose</x:v>
      </x:c>
      <x:c r="AM41" s="2"/>
      <x:c r="AN41" s="2"/>
      <x:c r="AO41" s="7" t="str">
        <x:v>Safari</x:v>
      </x:c>
      <x:c r="AP41" s="2"/>
      <x:c r="AQ41" s="7" t="str">
        <x:v>https://www.wolwedans.com/location-and-access/</x:v>
      </x:c>
      <x:c r="AR41" s="7" t="str">
        <x:v>https://ourairports.com/airports/NA-0030/</x:v>
      </x:c>
      <x:c r="AS41" s="7" t="str">
        <x:v>OurAirports snapshot 2026-10-29</x:v>
      </x:c>
      <x:c r="AT41" s="7" t="str">
        <x:v>Real operator association; 45-minute ground transfer. Database key is not an MSFS identifier.</x:v>
      </x:c>
      <x:c r="AU41" s="7" t="str">
        <x:v>https://www.openstreetmap.org/?mlat=-24.963100&amp;mlon=16.013599#map=13/-24.963100/16.013599</x:v>
      </x:c>
      <x:c r="AV41" s="7" t="str">
        <x:v>NamibRand dunes and mountain margins</x:v>
      </x:c>
      <x:c r="AW41" s="7" t="str">
        <x:v>OurAirports database key, not certified ICAO</x:v>
      </x:c>
      <x:c r="AX41" s="2" t="str">
        <x:v>2026-10-29</x:v>
      </x:c>
    </x:row>
    <x:row r="42" ht="54" customHeight="1">
      <x:c r="A42" s="2" t="str">
        <x:v>FYGK</x:v>
      </x:c>
      <x:c r="B42" s="7" t="str">
        <x:v>Farm Whitwater East Landing Strip</x:v>
      </x:c>
      <x:c r="C42" s="7" t="str">
        <x:v>Safari</x:v>
      </x:c>
      <x:c r="D42" s="2" t="str">
        <x:v>NA-HA</x:v>
      </x:c>
      <x:c r="E42" s="7" t="str">
        <x:v>Partially verified</x:v>
      </x:c>
      <x:c r="F42" s="7" t="str">
        <x:v>Safari: Research hold</x:v>
      </x:c>
      <x:c r="G42" s="16" t="n">
        <x:v>-24.629999</x:v>
      </x:c>
      <x:c r="H42" s="16" t="n">
        <x:v>15.9392</x:v>
      </x:c>
      <x:c r="I42" s="15" t="n">
        <x:v>857</x:v>
      </x:c>
      <x:c r="J42" s="15"/>
      <x:c r="K42" s="15"/>
      <x:c r="L42" s="2" t="str">
        <x:v>Unknown</x:v>
      </x:c>
      <x:c r="M42" s="2" t="str">
        <x:v>Unknown</x:v>
      </x:c>
      <x:c r="N42" s="7" t="str">
        <x:v>Runway dimensions, width, surface and orientation not established in this pass</x:v>
      </x:c>
      <x:c r="O42" s="7" t="str">
        <x:v>Witwater East / Geluk-associated flying-circuit lead</x:v>
      </x:c>
      <x:c r="P42" s="7" t="str">
        <x:v>Safari: Witwater East / Geluk-associated flying-circuit lead — Lodge/park staff, supplies and conservation equipment now; guest transport only through separately approved passenger capability.</x:v>
      </x:c>
      <x:c r="Q42" s="7" t="str">
        <x:v>No aircraft approved by this research. Unknown/conflicting field data: hold performance clearance; assess each type separately.</x:v>
      </x:c>
      <x:c r="R42" s="7" t="str">
        <x:v>Identifier returned in 2026-10-27 cache; offset 0.0 NM from real-world point. Database presence only; scenery/runway uninspected.</x:v>
      </x:c>
      <x:c r="S42" s="15" t="n">
        <x:v>136.8</x:v>
      </x:c>
      <x:c r="T42" s="15" t="n">
        <x:v>121.9</x:v>
      </x:c>
      <x:c r="U42" s="2" t="n">
        <x:f>IF(S42="","",ROUNDUP(S42*1.10/'Aircraft and method'!C5*60+'Aircraft and method'!D5,0))</x:f>
        <x:v>109</x:v>
      </x:c>
      <x:c r="V42" s="2" t="n">
        <x:f>IF(S42="","",ROUNDUP(S42*1.10/'Aircraft and method'!C6*60+'Aircraft and method'!D6,0))</x:f>
        <x:v>69</x:v>
      </x:c>
      <x:c r="W42" s="2" t="n">
        <x:f>IF(S42="","",ROUNDUP(S42*1.10/'Aircraft and method'!C7*60+'Aircraft and method'!D7,0))</x:f>
        <x:v>62</x:v>
      </x:c>
      <x:c r="X42" s="2" t="n">
        <x:f>IF(S42="","",ROUNDUP(S42*1.10/'Aircraft and method'!C8*60+'Aircraft and method'!D8,0))</x:f>
        <x:v>69</x:v>
      </x:c>
      <x:c r="Y42" s="2" t="n">
        <x:f>IF(S42="","",ROUNDUP(S42*1.10/'Aircraft and method'!C9*60+'Aircraft and method'!D9,0))</x:f>
        <x:v>91</x:v>
      </x:c>
      <x:c r="Z42" s="2" t="n">
        <x:f>IF(S42="","",ROUNDUP(S42*1.10/'Aircraft and method'!C10*60+'Aircraft and method'!D10,0))</x:f>
        <x:v>119</x:v>
      </x:c>
      <x:c r="AA42" s="2" t="n">
        <x:f>IF(T42="","",ROUNDUP(T42*1.10/IF(T42&lt;60,170,'Aircraft and method'!C11)*60+IF(T42&lt;60,10,'Aircraft and method'!D11),0))</x:f>
        <x:v>52</x:v>
      </x:c>
      <x:c r="AB42" s="2" t="n">
        <x:f>IF(T42="","",ROUNDUP(T42*1.10/'Aircraft and method'!C12*60+'Aircraft and method'!D12,0))</x:f>
        <x:v>84</x:v>
      </x:c>
      <x:c r="AC42" s="7" t="str">
        <x:v>Ineligible: no evidenced purpose</x:v>
      </x:c>
      <x:c r="AD42" s="2"/>
      <x:c r="AE42" s="2"/>
      <x:c r="AF42" s="7" t="str">
        <x:v>Eligible purpose</x:v>
      </x:c>
      <x:c r="AG42" s="2" t="n">
        <x:f>IF(Scoring!J42="","",Scoring!J42)</x:f>
        <x:v>62</x:v>
      </x:c>
      <x:c r="AH42" s="2" t="n">
        <x:f>Scoring!P42</x:f>
        <x:v>21</x:v>
      </x:c>
      <x:c r="AI42" s="7" t="str">
        <x:v>Ineligible: no evidenced purpose</x:v>
      </x:c>
      <x:c r="AJ42" s="2"/>
      <x:c r="AK42" s="2"/>
      <x:c r="AL42" s="7" t="str">
        <x:v>Ineligible: no evidenced purpose</x:v>
      </x:c>
      <x:c r="AM42" s="2"/>
      <x:c r="AN42" s="2"/>
      <x:c r="AO42" s="7" t="str">
        <x:v>Safari</x:v>
      </x:c>
      <x:c r="AP42" s="2" t="n">
        <x:v>0.02</x:v>
      </x:c>
      <x:c r="AQ42" s="7" t="str">
        <x:v>https://aopa.org.na/aerodrome/
https://images.wilderness.co.za/2023/Product/flying-circuit-namibia.pdf</x:v>
      </x:c>
      <x:c r="AR42" s="7" t="str">
        <x:v>https://ourairports.com/airports/FYGK/</x:v>
      </x:c>
      <x:c r="AS42" s="7" t="str">
        <x:v>OurAirports snapshot 2026-10-29</x:v>
      </x:c>
      <x:c r="AT42" s="7" t="str">
        <x:v>IDENTITY CONFLICT: AOPA calls FYGK Geluk; OurAirports calls it Farm Whitwater East. Separate NA-0067 Geluk exists about 8.5 NM away. Do not collapse the two records or assign lodge until reconciled.</x:v>
      </x:c>
      <x:c r="AU42" s="7" t="str">
        <x:v>https://www.openstreetmap.org/?mlat=-24.629999&amp;mlon=15.939200#map=13/-24.629999/15.939200</x:v>
      </x:c>
      <x:c r="AV42" s="7" t="str">
        <x:v>Sossusvlei desert plains</x:v>
      </x:c>
      <x:c r="AW42" s="7" t="str">
        <x:v>Published identifier; reconcile with simulator</x:v>
      </x:c>
      <x:c r="AX42" s="2" t="str">
        <x:v>2026-10-29</x:v>
      </x:c>
    </x:row>
    <x:row r="43" ht="54" customHeight="1">
      <x:c r="A43" s="2" t="str">
        <x:v>candidate-sonop</x:v>
      </x:c>
      <x:c r="B43" s="7" t="str">
        <x:v>Zannier Sonop private strip</x:v>
      </x:c>
      <x:c r="C43" s="7" t="str">
        <x:v>Safari</x:v>
      </x:c>
      <x:c r="D43" s="2" t="str">
        <x:v>Namibia offshore / unresolved</x:v>
      </x:c>
      <x:c r="E43" s="7" t="str">
        <x:v>Confirmed real-world destination; MSFS status unverified</x:v>
      </x:c>
      <x:c r="F43" s="7" t="str">
        <x:v>Safari: Research hold</x:v>
      </x:c>
      <x:c r="G43" s="16"/>
      <x:c r="H43" s="16"/>
      <x:c r="I43" s="15"/>
      <x:c r="J43" s="15"/>
      <x:c r="K43" s="15"/>
      <x:c r="L43" s="2" t="str">
        <x:v>Unknown</x:v>
      </x:c>
      <x:c r="M43" s="2" t="str">
        <x:v>Unknown</x:v>
      </x:c>
      <x:c r="N43" s="7" t="str">
        <x:v>Runway dimensions, width, surface and orientation not established in this pass</x:v>
      </x:c>
      <x:c r="O43" s="7" t="str">
        <x:v>Zannier Sonop private strip</x:v>
      </x:c>
      <x:c r="P43" s="7" t="str">
        <x:v>Safari: Zannier Sonop private strip — Lodge/park staff, supplies and conservation equipment now; guest transport only through separately approved passenger capability.</x:v>
      </x:c>
      <x:c r="Q43" s="7" t="str">
        <x:v>No aircraft approved by this research. Unknown/conflicting field data: hold performance clearance; assess each type separately.</x:v>
      </x:c>
      <x:c r="R43" s="7" t="str">
        <x:v>Not queried by this cache; absence cannot be inferred.</x:v>
      </x:c>
      <x:c r="S43" s="15"/>
      <x:c r="T43" s="15"/>
      <x:c r="U43" s="2" t="str">
        <x:f>IF(S43="","",ROUNDUP(S43*1.10/'Aircraft and method'!C5*60+'Aircraft and method'!D5,0))</x:f>
      </x:c>
      <x:c r="V43" s="2" t="str">
        <x:f>IF(S43="","",ROUNDUP(S43*1.10/'Aircraft and method'!C6*60+'Aircraft and method'!D6,0))</x:f>
      </x:c>
      <x:c r="W43" s="2" t="str">
        <x:f>IF(S43="","",ROUNDUP(S43*1.10/'Aircraft and method'!C7*60+'Aircraft and method'!D7,0))</x:f>
      </x:c>
      <x:c r="X43" s="2" t="str">
        <x:f>IF(S43="","",ROUNDUP(S43*1.10/'Aircraft and method'!C8*60+'Aircraft and method'!D8,0))</x:f>
      </x:c>
      <x:c r="Y43" s="2" t="str">
        <x:f>IF(S43="","",ROUNDUP(S43*1.10/'Aircraft and method'!C9*60+'Aircraft and method'!D9,0))</x:f>
      </x:c>
      <x:c r="Z43" s="2" t="str">
        <x:f>IF(S43="","",ROUNDUP(S43*1.10/'Aircraft and method'!C10*60+'Aircraft and method'!D10,0))</x:f>
      </x:c>
      <x:c r="AA43" s="2" t="str">
        <x:f>IF(T43="","",ROUNDUP(T43*1.10/IF(T43&lt;60,170,'Aircraft and method'!C11)*60+IF(T43&lt;60,10,'Aircraft and method'!D11),0))</x:f>
      </x:c>
      <x:c r="AB43" s="2" t="str">
        <x:f>IF(T43="","",ROUNDUP(T43*1.10/'Aircraft and method'!C12*60+'Aircraft and method'!D12,0))</x:f>
      </x:c>
      <x:c r="AC43" s="7" t="str">
        <x:v>Ineligible: no evidenced purpose</x:v>
      </x:c>
      <x:c r="AD43" s="2"/>
      <x:c r="AE43" s="2"/>
      <x:c r="AF43" s="7" t="str">
        <x:v>Eligible purpose</x:v>
      </x:c>
      <x:c r="AG43" s="2" t="n">
        <x:f>IF(Scoring!J43="","",Scoring!J43)</x:f>
        <x:v>75</x:v>
      </x:c>
      <x:c r="AH43" s="2" t="n">
        <x:f>Scoring!P43</x:f>
        <x:v>22</x:v>
      </x:c>
      <x:c r="AI43" s="7" t="str">
        <x:v>Ineligible: no evidenced purpose</x:v>
      </x:c>
      <x:c r="AJ43" s="2"/>
      <x:c r="AK43" s="2"/>
      <x:c r="AL43" s="7" t="str">
        <x:v>Ineligible: no evidenced purpose</x:v>
      </x:c>
      <x:c r="AM43" s="2"/>
      <x:c r="AN43" s="2"/>
      <x:c r="AO43" s="7" t="str">
        <x:v>Safari</x:v>
      </x:c>
      <x:c r="AP43" s="2"/>
      <x:c r="AQ43" s="7" t="str">
        <x:v>https://www.zannierhotels.com/wp-content/uploads/2019/09/Zannier-Hotels-Sonop-Press-Kit-EN-FINAL.pdf
https://www.swissafrican.com/en/namibia/camps/zannier-sonop/</x:v>
      </x:c>
      <x:c r="AR43" s="7" t="str"/>
      <x:c r="AS43" s="7" t="str">
        <x:v>Unknown; omitted from map</x:v>
      </x:c>
      <x:c r="AT43" s="7" t="str">
        <x:v>Lodge and private airstrip verified; exact runway coordinates, identifier and measurements unresolved. Lodge coordinates are deliberately not substituted.</x:v>
      </x:c>
      <x:c r="AU43" s="7" t="str"/>
      <x:c r="AV43" s="7" t="str">
        <x:v>Granite boulders, Tiras Mountains and Namib dunes</x:v>
      </x:c>
      <x:c r="AW43" s="7" t="str">
        <x:v>Research label only; no invented ICAO</x:v>
      </x:c>
      <x:c r="AX43" s="2" t="str">
        <x:v>2026-10-29</x:v>
      </x:c>
    </x:row>
    <x:row r="44" ht="54" customHeight="1">
      <x:c r="A44" s="2" t="str">
        <x:v>FYWD</x:v>
      </x:c>
      <x:c r="B44" s="7" t="str">
        <x:v>Wolwedans Airport</x:v>
      </x:c>
      <x:c r="C44" s="7" t="str">
        <x:v>Safari</x:v>
      </x:c>
      <x:c r="D44" s="2" t="str">
        <x:v>NA-HA</x:v>
      </x:c>
      <x:c r="E44" s="7" t="str">
        <x:v>Confirmed real-world destination; MSFS status unverified</x:v>
      </x:c>
      <x:c r="F44" s="7" t="str">
        <x:v>Safari: Priority validation</x:v>
      </x:c>
      <x:c r="G44" s="16" t="n">
        <x:v>-25.116899490356445</x:v>
      </x:c>
      <x:c r="H44" s="16" t="n">
        <x:v>16.000600814819336</x:v>
      </x:c>
      <x:c r="I44" s="15" t="n">
        <x:v>3271</x:v>
      </x:c>
      <x:c r="J44" s="15"/>
      <x:c r="K44" s="15"/>
      <x:c r="L44" s="2" t="str">
        <x:v>Unknown</x:v>
      </x:c>
      <x:c r="M44" s="2" t="str">
        <x:v>Unknown</x:v>
      </x:c>
      <x:c r="N44" s="7" t="str">
        <x:v>Runway dimensions, width, surface and orientation not established in this pass</x:v>
      </x:c>
      <x:c r="O44" s="7" t="str">
        <x:v>Wolwedans lodges / NamibRand</x:v>
      </x:c>
      <x:c r="P44" s="7" t="str">
        <x:v>Safari: Wolwedans lodges / NamibRand — Lodge/park staff, supplies and conservation equipment now; guest transport only through separately approved passenger capability.</x:v>
      </x:c>
      <x:c r="Q44" s="7" t="str">
        <x:v>No aircraft approved by this research. Unknown/conflicting field data: hold performance clearance; assess each type separately.</x:v>
      </x:c>
      <x:c r="R44" s="7" t="str">
        <x:v>Not queried by this cache; absence cannot be inferred.</x:v>
      </x:c>
      <x:c r="S44" s="15" t="n">
        <x:v>162</x:v>
      </x:c>
      <x:c r="T44" s="15" t="n">
        <x:v>148.3</x:v>
      </x:c>
      <x:c r="U44" s="2" t="n">
        <x:f>IF(S44="","",ROUNDUP(S44*1.10/'Aircraft and method'!C5*60+'Aircraft and method'!D5,0))</x:f>
        <x:v>127</x:v>
      </x:c>
      <x:c r="V44" s="2" t="n">
        <x:f>IF(S44="","",ROUNDUP(S44*1.10/'Aircraft and method'!C6*60+'Aircraft and method'!D6,0))</x:f>
        <x:v>79</x:v>
      </x:c>
      <x:c r="W44" s="2" t="n">
        <x:f>IF(S44="","",ROUNDUP(S44*1.10/'Aircraft and method'!C7*60+'Aircraft and method'!D7,0))</x:f>
        <x:v>72</x:v>
      </x:c>
      <x:c r="X44" s="2" t="n">
        <x:f>IF(S44="","",ROUNDUP(S44*1.10/'Aircraft and method'!C8*60+'Aircraft and method'!D8,0))</x:f>
        <x:v>79</x:v>
      </x:c>
      <x:c r="Y44" s="2" t="n">
        <x:f>IF(S44="","",ROUNDUP(S44*1.10/'Aircraft and method'!C9*60+'Aircraft and method'!D9,0))</x:f>
        <x:v>106</x:v>
      </x:c>
      <x:c r="Z44" s="2" t="n">
        <x:f>IF(S44="","",ROUNDUP(S44*1.10/'Aircraft and method'!C10*60+'Aircraft and method'!D10,0))</x:f>
        <x:v>140</x:v>
      </x:c>
      <x:c r="AA44" s="2" t="n">
        <x:f>IF(T44="","",ROUNDUP(T44*1.10/IF(T44&lt;60,170,'Aircraft and method'!C11)*60+IF(T44&lt;60,10,'Aircraft and method'!D11),0))</x:f>
        <x:v>60</x:v>
      </x:c>
      <x:c r="AB44" s="2" t="n">
        <x:f>IF(T44="","",ROUNDUP(T44*1.10/'Aircraft and method'!C12*60+'Aircraft and method'!D12,0))</x:f>
        <x:v>99</x:v>
      </x:c>
      <x:c r="AC44" s="7" t="str">
        <x:v>Ineligible: no evidenced purpose</x:v>
      </x:c>
      <x:c r="AD44" s="2"/>
      <x:c r="AE44" s="2"/>
      <x:c r="AF44" s="7" t="str">
        <x:v>Eligible purpose</x:v>
      </x:c>
      <x:c r="AG44" s="2" t="n">
        <x:f>IF(Scoring!J44="","",Scoring!J44)</x:f>
        <x:v>88</x:v>
      </x:c>
      <x:c r="AH44" s="2" t="n">
        <x:f>Scoring!P44</x:f>
        <x:v>22</x:v>
      </x:c>
      <x:c r="AI44" s="7" t="str">
        <x:v>Ineligible: no evidenced purpose</x:v>
      </x:c>
      <x:c r="AJ44" s="2"/>
      <x:c r="AK44" s="2"/>
      <x:c r="AL44" s="7" t="str">
        <x:v>Ineligible: no evidenced purpose</x:v>
      </x:c>
      <x:c r="AM44" s="2"/>
      <x:c r="AN44" s="2"/>
      <x:c r="AO44" s="7" t="str">
        <x:v>Safari</x:v>
      </x:c>
      <x:c r="AP44" s="2"/>
      <x:c r="AQ44" s="7" t="str">
        <x:v>https://www.wolwedans.com/location-and-access/</x:v>
      </x:c>
      <x:c r="AR44" s="7" t="str">
        <x:v>https://ourairports.com/airports/FYWD/</x:v>
      </x:c>
      <x:c r="AS44" s="7" t="str">
        <x:v>OurAirports snapshot 2026-10-29</x:v>
      </x:c>
      <x:c r="AT44" s="7" t="str">
        <x:v>New database lead FYWD for previously identifierless row; must query exact geographic site, not silently approve.</x:v>
      </x:c>
      <x:c r="AU44" s="7" t="str">
        <x:v>https://www.openstreetmap.org/?mlat=-25.116899&amp;mlon=16.000601#map=13/-25.116899/16.000601</x:v>
      </x:c>
      <x:c r="AV44" s="7" t="str">
        <x:v>NamibRand dune sea and mountain backdrop</x:v>
      </x:c>
      <x:c r="AW44" s="7" t="str">
        <x:v>Published identifier; reconcile with simulator</x:v>
      </x:c>
      <x:c r="AX44" s="2" t="str">
        <x:v>2026-10-29</x:v>
      </x:c>
    </x:row>
    <x:row r="45" ht="82" customHeight="1">
      <x:c r="A45" s="2" t="str">
        <x:v>FYAD</x:v>
      </x:c>
      <x:c r="B45" s="7" t="str">
        <x:v>Aandster Airstrip</x:v>
      </x:c>
      <x:c r="C45" s="7" t="str">
        <x:v>Safari</x:v>
      </x:c>
      <x:c r="D45" s="2" t="str">
        <x:v>NA-HA</x:v>
      </x:c>
      <x:c r="E45" s="7" t="str">
        <x:v>Partially verified</x:v>
      </x:c>
      <x:c r="F45" s="7" t="str">
        <x:v>Safari: Hold: identifier/location conflict</x:v>
      </x:c>
      <x:c r="G45" s="16" t="n">
        <x:v>-25.355245</x:v>
      </x:c>
      <x:c r="H45" s="16" t="n">
        <x:v>16.105086</x:v>
      </x:c>
      <x:c r="I45" s="15" t="n">
        <x:v>3312</x:v>
      </x:c>
      <x:c r="J45" s="15" t="n">
        <x:v>899.8</x:v>
      </x:c>
      <x:c r="K45" s="15" t="n">
        <x:v>14.9</x:v>
      </x:c>
      <x:c r="L45" s="2" t="str">
        <x:v>Sand</x:v>
      </x:c>
      <x:c r="M45" s="2" t="str">
        <x:v>07/25</x:v>
      </x:c>
      <x:c r="N45" s="7" t="str">
        <x:v>900 x 15 m; Sand; 07/25</x:v>
      </x:c>
      <x:c r="O45" s="7" t="str">
        <x:v>Aandster / Wolwedans Boulders Camp</x:v>
      </x:c>
      <x:c r="P45" s="7" t="str">
        <x:v>Safari: Aandster / Wolwedans Boulders Camp — Lodge/park staff, supplies and conservation equipment now; guest transport only through separately approved passenger capability.</x:v>
      </x:c>
      <x:c r="Q45" s="7" t="str">
        <x:v>No aircraft approved by this research. Unknown/conflicting field data: hold performance clearance; assess each type separately.</x:v>
      </x:c>
      <x:c r="R45" s="7" t="str">
        <x:v>Identifier returned in 2026-10-27 cache; offset 148.0 NM from real-world point. WRONG-LOCATION ASSOCIATION; hold.</x:v>
      </x:c>
      <x:c r="S45" s="15" t="n">
        <x:v>173.6</x:v>
      </x:c>
      <x:c r="T45" s="15" t="n">
        <x:v>163.5</x:v>
      </x:c>
      <x:c r="U45" s="2" t="n">
        <x:f>IF(S45="","",ROUNDUP(S45*1.10/'Aircraft and method'!C5*60+'Aircraft and method'!D5,0))</x:f>
        <x:v>136</x:v>
      </x:c>
      <x:c r="V45" s="2" t="n">
        <x:f>IF(S45="","",ROUNDUP(S45*1.10/'Aircraft and method'!C6*60+'Aircraft and method'!D6,0))</x:f>
        <x:v>84</x:v>
      </x:c>
      <x:c r="W45" s="2" t="n">
        <x:f>IF(S45="","",ROUNDUP(S45*1.10/'Aircraft and method'!C7*60+'Aircraft and method'!D7,0))</x:f>
        <x:v>76</x:v>
      </x:c>
      <x:c r="X45" s="2" t="n">
        <x:f>IF(S45="","",ROUNDUP(S45*1.10/'Aircraft and method'!C8*60+'Aircraft and method'!D8,0))</x:f>
        <x:v>84</x:v>
      </x:c>
      <x:c r="Y45" s="2" t="n">
        <x:f>IF(S45="","",ROUNDUP(S45*1.10/'Aircraft and method'!C9*60+'Aircraft and method'!D9,0))</x:f>
        <x:v>113</x:v>
      </x:c>
      <x:c r="Z45" s="2" t="n">
        <x:f>IF(S45="","",ROUNDUP(S45*1.10/'Aircraft and method'!C10*60+'Aircraft and method'!D10,0))</x:f>
        <x:v>150</x:v>
      </x:c>
      <x:c r="AA45" s="2" t="n">
        <x:f>IF(T45="","",ROUNDUP(T45*1.10/IF(T45&lt;60,170,'Aircraft and method'!C11)*60+IF(T45&lt;60,10,'Aircraft and method'!D11),0))</x:f>
        <x:v>65</x:v>
      </x:c>
      <x:c r="AB45" s="2" t="n">
        <x:f>IF(T45="","",ROUNDUP(T45*1.10/'Aircraft and method'!C12*60+'Aircraft and method'!D12,0))</x:f>
        <x:v>109</x:v>
      </x:c>
      <x:c r="AC45" s="7" t="str">
        <x:v>Ineligible: no evidenced purpose</x:v>
      </x:c>
      <x:c r="AD45" s="2"/>
      <x:c r="AE45" s="2"/>
      <x:c r="AF45" s="7" t="str">
        <x:v>Eligible purpose</x:v>
      </x:c>
      <x:c r="AG45" s="2" t="n">
        <x:f>IF(Scoring!J45="","",Scoring!J45)</x:f>
        <x:v>83</x:v>
      </x:c>
      <x:c r="AH45" s="2" t="n">
        <x:f>Scoring!P45</x:f>
        <x:v>23</x:v>
      </x:c>
      <x:c r="AI45" s="7" t="str">
        <x:v>Ineligible: no evidenced purpose</x:v>
      </x:c>
      <x:c r="AJ45" s="2"/>
      <x:c r="AK45" s="2"/>
      <x:c r="AL45" s="7" t="str">
        <x:v>Ineligible: no evidenced purpose</x:v>
      </x:c>
      <x:c r="AM45" s="2"/>
      <x:c r="AN45" s="2"/>
      <x:c r="AO45" s="7" t="str">
        <x:v>Safari</x:v>
      </x:c>
      <x:c r="AP45" s="2" t="n">
        <x:v>147.98</x:v>
      </x:c>
      <x:c r="AQ45" s="7" t="str">
        <x:v>https://www.wolwedans.com/location-and-access/
https://the-eis.com/elibrary/sites/default/files/downloads/literature/269_EMP_Airstrip%20on%20Farm%20Aandster_Hardap%20Region.pdf
https://www.wolwedans.com/wp-content/uploads/AandsterDirections_ToWolwedans.pdf</x:v>
      </x:c>
      <x:c r="AR45" s="7" t="str">
        <x:v>https://ourairports.com/airports/FYAD/</x:v>
      </x:c>
      <x:c r="AS45" s="7" t="str">
        <x:v>OurAirports snapshot 2026-10-29</x:v>
      </x:c>
      <x:c r="AT45" s="7" t="str">
        <x:v>Major conflict: OurAirports 900 m vs 2022 EMP 1450 m vs old operator 1500 m; orientations conflict too. Cached FYAD is far east. No runway approval until authoritative reconciliation.</x:v>
      </x:c>
      <x:c r="AU45" s="7" t="str">
        <x:v>https://www.openstreetmap.org/?mlat=-25.355245&amp;mlon=16.105086#map=13/-25.355245/16.105086</x:v>
      </x:c>
      <x:c r="AV45" s="7" t="str">
        <x:v>Southern NamibRand open sand plains</x:v>
      </x:c>
      <x:c r="AW45" s="7" t="str">
        <x:v>Published identifier; reconcile with simulator</x:v>
      </x:c>
      <x:c r="AX45" s="2" t="str">
        <x:v>2026-10-29</x:v>
      </x:c>
    </x:row>
    <x:row r="46" ht="54" customHeight="1">
      <x:c r="A46" s="2" t="str">
        <x:v>NA-0168</x:v>
      </x:c>
      <x:c r="B46" s="7" t="str">
        <x:v>Palmwag Airport</x:v>
      </x:c>
      <x:c r="C46" s="7" t="str">
        <x:v>Safari</x:v>
      </x:c>
      <x:c r="D46" s="2" t="str">
        <x:v>NA-KU</x:v>
      </x:c>
      <x:c r="E46" s="7" t="str">
        <x:v>Confirmed real-world destination; MSFS status unverified</x:v>
      </x:c>
      <x:c r="F46" s="7" t="str">
        <x:v>Safari: Priority validation</x:v>
      </x:c>
      <x:c r="G46" s="16" t="n">
        <x:v>-19.873201</x:v>
      </x:c>
      <x:c r="H46" s="16" t="n">
        <x:v>13.943931</x:v>
      </x:c>
      <x:c r="I46" s="15"/>
      <x:c r="J46" s="15"/>
      <x:c r="K46" s="15"/>
      <x:c r="L46" s="2" t="str">
        <x:v>Unknown</x:v>
      </x:c>
      <x:c r="M46" s="2" t="str">
        <x:v>Unknown</x:v>
      </x:c>
      <x:c r="N46" s="7" t="str">
        <x:v>Runway dimensions, width, surface and orientation not established in this pass</x:v>
      </x:c>
      <x:c r="O46" s="7" t="str">
        <x:v>Palmwag Lodge and concession</x:v>
      </x:c>
      <x:c r="P46" s="7" t="str">
        <x:v>Safari: Palmwag Lodge and concession — Lodge/park staff, supplies and conservation equipment now; guest transport only through separately approved passenger capability.</x:v>
      </x:c>
      <x:c r="Q46" s="7" t="str">
        <x:v>No aircraft approved by this research. Unknown/conflicting field data: hold performance clearance; assess each type separately.</x:v>
      </x:c>
      <x:c r="R46" s="7" t="str">
        <x:v>Not queried by this cache; absence cannot be inferred.</x:v>
      </x:c>
      <x:c r="S46" s="15" t="n">
        <x:v>240.2</x:v>
      </x:c>
      <x:c r="T46" s="15" t="n">
        <x:v>190.6</x:v>
      </x:c>
      <x:c r="U46" s="2" t="n">
        <x:f>IF(S46="","",ROUNDUP(S46*1.10/'Aircraft and method'!C5*60+'Aircraft and method'!D5,0))</x:f>
        <x:v>185</x:v>
      </x:c>
      <x:c r="V46" s="2" t="n">
        <x:f>IF(S46="","",ROUNDUP(S46*1.10/'Aircraft and method'!C6*60+'Aircraft and method'!D6,0))</x:f>
        <x:v>113</x:v>
      </x:c>
      <x:c r="W46" s="2" t="n">
        <x:f>IF(S46="","",ROUNDUP(S46*1.10/'Aircraft and method'!C7*60+'Aircraft and method'!D7,0))</x:f>
        <x:v>101</x:v>
      </x:c>
      <x:c r="X46" s="2" t="n">
        <x:f>IF(S46="","",ROUNDUP(S46*1.10/'Aircraft and method'!C8*60+'Aircraft and method'!D8,0))</x:f>
        <x:v>113</x:v>
      </x:c>
      <x:c r="Y46" s="2" t="n">
        <x:f>IF(S46="","",ROUNDUP(S46*1.10/'Aircraft and method'!C9*60+'Aircraft and method'!D9,0))</x:f>
        <x:v>153</x:v>
      </x:c>
      <x:c r="Z46" s="2" t="n">
        <x:f>IF(S46="","",ROUNDUP(S46*1.10/'Aircraft and method'!C10*60+'Aircraft and method'!D10,0))</x:f>
        <x:v>205</x:v>
      </x:c>
      <x:c r="AA46" s="2" t="n">
        <x:f>IF(T46="","",ROUNDUP(T46*1.10/IF(T46&lt;60,170,'Aircraft and method'!C11)*60+IF(T46&lt;60,10,'Aircraft and method'!D11),0))</x:f>
        <x:v>73</x:v>
      </x:c>
      <x:c r="AB46" s="2" t="n">
        <x:f>IF(T46="","",ROUNDUP(T46*1.10/'Aircraft and method'!C12*60+'Aircraft and method'!D12,0))</x:f>
        <x:v>125</x:v>
      </x:c>
      <x:c r="AC46" s="7" t="str">
        <x:v>Ineligible: no evidenced purpose</x:v>
      </x:c>
      <x:c r="AD46" s="2"/>
      <x:c r="AE46" s="2"/>
      <x:c r="AF46" s="7" t="str">
        <x:v>Eligible purpose</x:v>
      </x:c>
      <x:c r="AG46" s="2" t="n">
        <x:f>IF(Scoring!J46="","",Scoring!J46)</x:f>
        <x:v>84</x:v>
      </x:c>
      <x:c r="AH46" s="2" t="n">
        <x:f>Scoring!P46</x:f>
        <x:v>22</x:v>
      </x:c>
      <x:c r="AI46" s="7" t="str">
        <x:v>Ineligible: no evidenced purpose</x:v>
      </x:c>
      <x:c r="AJ46" s="2"/>
      <x:c r="AK46" s="2"/>
      <x:c r="AL46" s="7" t="str">
        <x:v>Ineligible: no evidenced purpose</x:v>
      </x:c>
      <x:c r="AM46" s="2"/>
      <x:c r="AN46" s="2"/>
      <x:c r="AO46" s="7" t="str">
        <x:v>Safari</x:v>
      </x:c>
      <x:c r="AP46" s="2"/>
      <x:c r="AQ46" s="7" t="str">
        <x:v>https://www.afrozapping.com/wp-content/uploads/2022/06/palmwag-lodge.pdf</x:v>
      </x:c>
      <x:c r="AR46" s="7" t="str">
        <x:v>https://ourairports.com/airports/NA-0168/</x:v>
      </x:c>
      <x:c r="AS46" s="7" t="str">
        <x:v>OurAirports snapshot 2026-10-29</x:v>
      </x:c>
      <x:c r="AT46" s="7" t="str">
        <x:v>Gondwana factsheet gives strip position; reconcile precise operator coordinates and database reference before activation.</x:v>
      </x:c>
      <x:c r="AU46" s="7" t="str">
        <x:v>https://www.openstreetmap.org/?mlat=-19.873201&amp;mlon=13.943931#map=13/-19.873201/13.943931</x:v>
      </x:c>
      <x:c r="AV46" s="7" t="str">
        <x:v>Palm-lined oasis, basalt and desert mountains</x:v>
      </x:c>
      <x:c r="AW46" s="7" t="str">
        <x:v>OurAirports database key, not certified ICAO</x:v>
      </x:c>
      <x:c r="AX46" s="2" t="str">
        <x:v>2026-10-29</x:v>
      </x:c>
    </x:row>
    <x:row r="47" ht="54" customHeight="1">
      <x:c r="A47" s="2" t="str">
        <x:v>FYDN</x:v>
      </x:c>
      <x:c r="B47" s="7" t="str">
        <x:v>Doro Nawas Airstrip</x:v>
      </x:c>
      <x:c r="C47" s="7" t="str">
        <x:v>Safari</x:v>
      </x:c>
      <x:c r="D47" s="2" t="str">
        <x:v>NA-KU</x:v>
      </x:c>
      <x:c r="E47" s="7" t="str">
        <x:v>Confirmed real-world destination; MSFS status unverified</x:v>
      </x:c>
      <x:c r="F47" s="7" t="str">
        <x:v>Safari: Priority validation</x:v>
      </x:c>
      <x:c r="G47" s="16" t="n">
        <x:v>-20.451007</x:v>
      </x:c>
      <x:c r="H47" s="16" t="n">
        <x:v>14.287337</x:v>
      </x:c>
      <x:c r="I47" s="15" t="n">
        <x:v>1525</x:v>
      </x:c>
      <x:c r="J47" s="15"/>
      <x:c r="K47" s="15"/>
      <x:c r="L47" s="2" t="str">
        <x:v>Unknown</x:v>
      </x:c>
      <x:c r="M47" s="2" t="str">
        <x:v>Unknown</x:v>
      </x:c>
      <x:c r="N47" s="7" t="str">
        <x:v>1490 / 1550 m conflict; LDA 1320/1330 m; gravel; 07/25; width unknown</x:v>
      </x:c>
      <x:c r="O47" s="7" t="str">
        <x:v>Wilderness Doro Nawas charter hub</x:v>
      </x:c>
      <x:c r="P47" s="7" t="str">
        <x:v>Safari: Wilderness Doro Nawas charter hub — Lodge/park staff, supplies and conservation equipment now; guest transport only through separately approved passenger capability.</x:v>
      </x:c>
      <x:c r="Q47" s="7" t="str">
        <x:v>No aircraft approved by this research. Unknown/conflicting field data: hold performance clearance; assess each type separately.</x:v>
      </x:c>
      <x:c r="R47" s="7" t="str">
        <x:v>Not returned by 2026-10-16 published scan or 2026-10-27 cached scan; no new query. Search by geography/alternate identifier before custom scenery.</x:v>
      </x:c>
      <x:c r="S47" s="15" t="n">
        <x:v>202.6</x:v>
      </x:c>
      <x:c r="T47" s="15" t="n">
        <x:v>153.1</x:v>
      </x:c>
      <x:c r="U47" s="2" t="n">
        <x:f>IF(S47="","",ROUNDUP(S47*1.10/'Aircraft and method'!C5*60+'Aircraft and method'!D5,0))</x:f>
        <x:v>157</x:v>
      </x:c>
      <x:c r="V47" s="2" t="n">
        <x:f>IF(S47="","",ROUNDUP(S47*1.10/'Aircraft and method'!C6*60+'Aircraft and method'!D6,0))</x:f>
        <x:v>97</x:v>
      </x:c>
      <x:c r="W47" s="2" t="n">
        <x:f>IF(S47="","",ROUNDUP(S47*1.10/'Aircraft and method'!C7*60+'Aircraft and method'!D7,0))</x:f>
        <x:v>87</x:v>
      </x:c>
      <x:c r="X47" s="2" t="n">
        <x:f>IF(S47="","",ROUNDUP(S47*1.10/'Aircraft and method'!C8*60+'Aircraft and method'!D8,0))</x:f>
        <x:v>97</x:v>
      </x:c>
      <x:c r="Y47" s="2" t="n">
        <x:f>IF(S47="","",ROUNDUP(S47*1.10/'Aircraft and method'!C9*60+'Aircraft and method'!D9,0))</x:f>
        <x:v>130</x:v>
      </x:c>
      <x:c r="Z47" s="2" t="n">
        <x:f>IF(S47="","",ROUNDUP(S47*1.10/'Aircraft and method'!C10*60+'Aircraft and method'!D10,0))</x:f>
        <x:v>174</x:v>
      </x:c>
      <x:c r="AA47" s="2" t="n">
        <x:f>IF(T47="","",ROUNDUP(T47*1.10/IF(T47&lt;60,170,'Aircraft and method'!C11)*60+IF(T47&lt;60,10,'Aircraft and method'!D11),0))</x:f>
        <x:v>61</x:v>
      </x:c>
      <x:c r="AB47" s="2" t="n">
        <x:f>IF(T47="","",ROUNDUP(T47*1.10/'Aircraft and method'!C12*60+'Aircraft and method'!D12,0))</x:f>
        <x:v>102</x:v>
      </x:c>
      <x:c r="AC47" s="7" t="str">
        <x:v>Ineligible: no evidenced purpose</x:v>
      </x:c>
      <x:c r="AD47" s="2"/>
      <x:c r="AE47" s="2"/>
      <x:c r="AF47" s="7" t="str">
        <x:v>Eligible purpose</x:v>
      </x:c>
      <x:c r="AG47" s="2" t="n">
        <x:f>IF(Scoring!J47="","",Scoring!J47)</x:f>
        <x:v>94</x:v>
      </x:c>
      <x:c r="AH47" s="2" t="n">
        <x:f>Scoring!P47</x:f>
        <x:v>21</x:v>
      </x:c>
      <x:c r="AI47" s="7" t="str">
        <x:v>Ineligible: no evidenced purpose</x:v>
      </x:c>
      <x:c r="AJ47" s="2"/>
      <x:c r="AK47" s="2"/>
      <x:c r="AL47" s="7" t="str">
        <x:v>Ineligible: no evidenced purpose</x:v>
      </x:c>
      <x:c r="AM47" s="2"/>
      <x:c r="AN47" s="2"/>
      <x:c r="AO47" s="7" t="str">
        <x:v>Safari</x:v>
      </x:c>
      <x:c r="AP47" s="2"/>
      <x:c r="AQ47" s="7" t="str">
        <x:v>https://eia.meft.gov.na/screening/5558_dn_emp_2026.pdf</x:v>
      </x:c>
      <x:c r="AR47" s="7" t="str">
        <x:v>https://ourairports.com/airports/FYDN/</x:v>
      </x:c>
      <x:c r="AS47" s="7" t="str">
        <x:v>OurAirports snapshot 2026-10-29</x:v>
      </x:c>
      <x:c r="AT47" s="7" t="str">
        <x:v>EMP prose 1550 m; embedded chart 1490 m with LDA 1320/1330 m; preserve conflict. Airport absent in recorded simulator list.</x:v>
      </x:c>
      <x:c r="AU47" s="7" t="str">
        <x:v>https://www.openstreetmap.org/?mlat=-20.451007&amp;mlon=14.287337#map=13/-20.451007/14.287337</x:v>
      </x:c>
      <x:c r="AV47" s="7" t="str">
        <x:v>Aba-Huab valley and Damaraland hills</x:v>
      </x:c>
      <x:c r="AW47" s="7" t="str">
        <x:v>Published identifier; reconcile with simulator</x:v>
      </x:c>
      <x:c r="AX47" s="2" t="str">
        <x:v>2026-10-29</x:v>
      </x:c>
    </x:row>
    <x:row r="48" ht="54" customHeight="1">
      <x:c r="A48" s="2" t="str">
        <x:v>FYHV</x:v>
      </x:c>
      <x:c r="B48" s="7" t="str">
        <x:v>Hartmann Valley Airstrip</x:v>
      </x:c>
      <x:c r="C48" s="7" t="str">
        <x:v>Safari</x:v>
      </x:c>
      <x:c r="D48" s="2" t="str">
        <x:v>NA-KU</x:v>
      </x:c>
      <x:c r="E48" s="7" t="str">
        <x:v>Partially verified</x:v>
      </x:c>
      <x:c r="F48" s="7" t="str">
        <x:v>Safari: Hold: identifier/location conflict</x:v>
      </x:c>
      <x:c r="G48" s="16" t="n">
        <x:v>-17.377134</x:v>
      </x:c>
      <x:c r="H48" s="16" t="n">
        <x:v>12.254745</x:v>
      </x:c>
      <x:c r="I48" s="15" t="n">
        <x:v>2045</x:v>
      </x:c>
      <x:c r="J48" s="15" t="n">
        <x:v>1549.9</x:v>
      </x:c>
      <x:c r="K48" s="15" t="n">
        <x:v>20.1</x:v>
      </x:c>
      <x:c r="L48" s="2" t="str">
        <x:v>Earth</x:v>
      </x:c>
      <x:c r="M48" s="2" t="str">
        <x:v>06/24</x:v>
      </x:c>
      <x:c r="N48" s="7" t="str">
        <x:v>1550 x 20 m; Earth; 06/24</x:v>
      </x:c>
      <x:c r="O48" s="7" t="str">
        <x:v>Serra Cafema via Hartmann Valley</x:v>
      </x:c>
      <x:c r="P48" s="7" t="str">
        <x:v>Safari: Serra Cafema via Hartmann Valley — Lodge/park staff, supplies and conservation equipment now; guest transport only through separately approved passenger capability.</x:v>
      </x:c>
      <x:c r="Q48" s="7" t="str">
        <x:v>No aircraft approved by this research. Unknown/conflicting field data: hold performance clearance; assess each type separately.</x:v>
      </x:c>
      <x:c r="R48" s="7" t="str">
        <x:v>Identifier returned in 2026-10-27 cache; offset 526.4 NM from real-world point. WRONG-LOCATION ASSOCIATION; hold.</x:v>
      </x:c>
      <x:c r="S48" s="15" t="n">
        <x:v>415.4</x:v>
      </x:c>
      <x:c r="T48" s="15" t="n">
        <x:v>362.3</x:v>
      </x:c>
      <x:c r="U48" s="2" t="n">
        <x:f>IF(S48="","",ROUNDUP(S48*1.10/'Aircraft and method'!C5*60+'Aircraft and method'!D5,0))</x:f>
        <x:v>313</x:v>
      </x:c>
      <x:c r="V48" s="2" t="n">
        <x:f>IF(S48="","",ROUNDUP(S48*1.10/'Aircraft and method'!C6*60+'Aircraft and method'!D6,0))</x:f>
        <x:v>187</x:v>
      </x:c>
      <x:c r="W48" s="2" t="n">
        <x:f>IF(S48="","",ROUNDUP(S48*1.10/'Aircraft and method'!C7*60+'Aircraft and method'!D7,0))</x:f>
        <x:v>167</x:v>
      </x:c>
      <x:c r="X48" s="2" t="n">
        <x:f>IF(S48="","",ROUNDUP(S48*1.10/'Aircraft and method'!C8*60+'Aircraft and method'!D8,0))</x:f>
        <x:v>187</x:v>
      </x:c>
      <x:c r="Y48" s="2" t="n">
        <x:f>IF(S48="","",ROUNDUP(S48*1.10/'Aircraft and method'!C9*60+'Aircraft and method'!D9,0))</x:f>
        <x:v>258</x:v>
      </x:c>
      <x:c r="Z48" s="2" t="n">
        <x:f>IF(S48="","",ROUNDUP(S48*1.10/'Aircraft and method'!C10*60+'Aircraft and method'!D10,0))</x:f>
        <x:v>349</x:v>
      </x:c>
      <x:c r="AA48" s="2" t="n">
        <x:f>IF(T48="","",ROUNDUP(T48*1.10/IF(T48&lt;60,170,'Aircraft and method'!C11)*60+IF(T48&lt;60,10,'Aircraft and method'!D11),0))</x:f>
        <x:v>124</x:v>
      </x:c>
      <x:c r="AB48" s="2" t="n">
        <x:f>IF(T48="","",ROUNDUP(T48*1.10/'Aircraft and method'!C12*60+'Aircraft and method'!D12,0))</x:f>
        <x:v>228</x:v>
      </x:c>
      <x:c r="AC48" s="7" t="str">
        <x:v>Ineligible: no evidenced purpose</x:v>
      </x:c>
      <x:c r="AD48" s="2"/>
      <x:c r="AE48" s="2"/>
      <x:c r="AF48" s="7" t="str">
        <x:v>Eligible purpose</x:v>
      </x:c>
      <x:c r="AG48" s="2" t="n">
        <x:f>IF(Scoring!J48="","",Scoring!J48)</x:f>
        <x:v>79</x:v>
      </x:c>
      <x:c r="AH48" s="2" t="n">
        <x:f>Scoring!P48</x:f>
        <x:v>23</x:v>
      </x:c>
      <x:c r="AI48" s="7" t="str">
        <x:v>Ineligible: no evidenced purpose</x:v>
      </x:c>
      <x:c r="AJ48" s="2"/>
      <x:c r="AK48" s="2"/>
      <x:c r="AL48" s="7" t="str">
        <x:v>Ineligible: no evidenced purpose</x:v>
      </x:c>
      <x:c r="AM48" s="2"/>
      <x:c r="AN48" s="2"/>
      <x:c r="AO48" s="7" t="str">
        <x:v>Safari</x:v>
      </x:c>
      <x:c r="AP48" s="2" t="n">
        <x:v>526.39</x:v>
      </x:c>
      <x:c r="AQ48" s="7" t="str">
        <x:v>https://eia.meft.gov.na/screening/5561_scf_emp_2026.pdf
https://images.wilderness.co.za/2023/Product/flying-circuit-namibia.pdf</x:v>
      </x:c>
      <x:c r="AR48" s="7" t="str">
        <x:v>https://ourairports.com/airports/FYHV/</x:v>
      </x:c>
      <x:c r="AS48" s="7" t="str">
        <x:v>OurAirports snapshot 2026-10-29</x:v>
      </x:c>
      <x:c r="AT48" s="7" t="str">
        <x:v>1600 m EMP vs 1550 m OurAirports. Cached FYHV is in southeast Namibia; requires geographic reconciliation. Extended for current slow safari fleet.</x:v>
      </x:c>
      <x:c r="AU48" s="7" t="str">
        <x:v>https://www.openstreetmap.org/?mlat=-17.377134&amp;mlon=12.254745#map=13/-17.377134/12.254745</x:v>
      </x:c>
      <x:c r="AV48" s="7" t="str">
        <x:v>Kunene valley, dunes and remote mountains</x:v>
      </x:c>
      <x:c r="AW48" s="7" t="str">
        <x:v>Published identifier; reconcile with simulator</x:v>
      </x:c>
      <x:c r="AX48" s="2" t="str">
        <x:v>2026-10-29</x:v>
      </x:c>
    </x:row>
    <x:row r="49" ht="54" customHeight="1">
      <x:c r="A49" s="2" t="str">
        <x:v>FYHO</x:v>
      </x:c>
      <x:c r="B49" s="7" t="str">
        <x:v>Hoanib Airstrip</x:v>
      </x:c>
      <x:c r="C49" s="7" t="str">
        <x:v>Safari</x:v>
      </x:c>
      <x:c r="D49" s="2" t="str">
        <x:v>NA-KU</x:v>
      </x:c>
      <x:c r="E49" s="7" t="str">
        <x:v>Partially verified</x:v>
      </x:c>
      <x:c r="F49" s="7" t="str">
        <x:v>Safari: Hold: identifier/location conflict</x:v>
      </x:c>
      <x:c r="G49" s="16" t="n">
        <x:v>-19.3864</x:v>
      </x:c>
      <x:c r="H49" s="16" t="n">
        <x:v>13.1327</x:v>
      </x:c>
      <x:c r="I49" s="15" t="n">
        <x:v>936</x:v>
      </x:c>
      <x:c r="J49" s="15"/>
      <x:c r="K49" s="15"/>
      <x:c r="L49" s="2" t="str">
        <x:v>Unknown</x:v>
      </x:c>
      <x:c r="M49" s="2" t="str">
        <x:v>Unknown</x:v>
      </x:c>
      <x:c r="N49" s="7" t="str">
        <x:v>Runway dimensions, width, surface and orientation not established in this pass</x:v>
      </x:c>
      <x:c r="O49" s="7" t="str">
        <x:v>Wilderness Hoanib Skeleton Coast Camp</x:v>
      </x:c>
      <x:c r="P49" s="7" t="str">
        <x:v>Safari: Wilderness Hoanib Skeleton Coast Camp — Lodge/park staff, supplies and conservation equipment now; guest transport only through separately approved passenger capability.</x:v>
      </x:c>
      <x:c r="Q49" s="7" t="str">
        <x:v>No aircraft approved by this research. Unknown/conflicting field data: hold performance clearance; assess each type separately.</x:v>
      </x:c>
      <x:c r="R49" s="7" t="str">
        <x:v>Identifier returned in 2026-10-27 cache; offset 381.5 NM from real-world point. WRONG-LOCATION ASSOCIATION; hold.</x:v>
      </x:c>
      <x:c r="S49" s="15" t="n">
        <x:v>293.7</x:v>
      </x:c>
      <x:c r="T49" s="15" t="n">
        <x:v>231.8</x:v>
      </x:c>
      <x:c r="U49" s="2" t="n">
        <x:f>IF(S49="","",ROUNDUP(S49*1.10/'Aircraft and method'!C5*60+'Aircraft and method'!D5,0))</x:f>
        <x:v>224</x:v>
      </x:c>
      <x:c r="V49" s="2" t="n">
        <x:f>IF(S49="","",ROUNDUP(S49*1.10/'Aircraft and method'!C6*60+'Aircraft and method'!D6,0))</x:f>
        <x:v>136</x:v>
      </x:c>
      <x:c r="W49" s="2" t="n">
        <x:f>IF(S49="","",ROUNDUP(S49*1.10/'Aircraft and method'!C7*60+'Aircraft and method'!D7,0))</x:f>
        <x:v>121</x:v>
      </x:c>
      <x:c r="X49" s="2" t="n">
        <x:f>IF(S49="","",ROUNDUP(S49*1.10/'Aircraft and method'!C8*60+'Aircraft and method'!D8,0))</x:f>
        <x:v>136</x:v>
      </x:c>
      <x:c r="Y49" s="2" t="n">
        <x:f>IF(S49="","",ROUNDUP(S49*1.10/'Aircraft and method'!C9*60+'Aircraft and method'!D9,0))</x:f>
        <x:v>185</x:v>
      </x:c>
      <x:c r="Z49" s="2" t="n">
        <x:f>IF(S49="","",ROUNDUP(S49*1.10/'Aircraft and method'!C10*60+'Aircraft and method'!D10,0))</x:f>
        <x:v>249</x:v>
      </x:c>
      <x:c r="AA49" s="2" t="n">
        <x:f>IF(T49="","",ROUNDUP(T49*1.10/IF(T49&lt;60,170,'Aircraft and method'!C11)*60+IF(T49&lt;60,10,'Aircraft and method'!D11),0))</x:f>
        <x:v>85</x:v>
      </x:c>
      <x:c r="AB49" s="2" t="n">
        <x:f>IF(T49="","",ROUNDUP(T49*1.10/'Aircraft and method'!C12*60+'Aircraft and method'!D12,0))</x:f>
        <x:v>150</x:v>
      </x:c>
      <x:c r="AC49" s="7" t="str">
        <x:v>Ineligible: no evidenced purpose</x:v>
      </x:c>
      <x:c r="AD49" s="2"/>
      <x:c r="AE49" s="2"/>
      <x:c r="AF49" s="7" t="str">
        <x:v>Eligible purpose</x:v>
      </x:c>
      <x:c r="AG49" s="2" t="n">
        <x:f>IF(Scoring!J49="","",Scoring!J49)</x:f>
        <x:v>80</x:v>
      </x:c>
      <x:c r="AH49" s="2" t="n">
        <x:f>Scoring!P49</x:f>
        <x:v>23</x:v>
      </x:c>
      <x:c r="AI49" s="7" t="str">
        <x:v>Ineligible: no evidenced purpose</x:v>
      </x:c>
      <x:c r="AJ49" s="2"/>
      <x:c r="AK49" s="2"/>
      <x:c r="AL49" s="7" t="str">
        <x:v>Ineligible: no evidenced purpose</x:v>
      </x:c>
      <x:c r="AM49" s="2"/>
      <x:c r="AN49" s="2"/>
      <x:c r="AO49" s="7" t="str">
        <x:v>Safari</x:v>
      </x:c>
      <x:c r="AP49" s="2" t="n">
        <x:v>381.52</x:v>
      </x:c>
      <x:c r="AQ49" s="7" t="str">
        <x:v>https://www.wildernessdestinations.com/africa/namibia/kunene-region/hoanib-skeleton-coast-camp</x:v>
      </x:c>
      <x:c r="AR49" s="7" t="str">
        <x:v>https://ourairports.com/airports/FYHO/</x:v>
      </x:c>
      <x:c r="AS49" s="7" t="str">
        <x:v>OurAirports snapshot 2026-10-29</x:v>
      </x:c>
      <x:c r="AT49" s="7" t="str">
        <x:v>Fly-in facility verified by operator. Cached FYHO near Bitterwasser, not Hoanib; do not use that endpoint.</x:v>
      </x:c>
      <x:c r="AU49" s="7" t="str">
        <x:v>https://www.openstreetmap.org/?mlat=-19.386400&amp;mlon=13.132700#map=13/-19.386400/13.132700</x:v>
      </x:c>
      <x:c r="AV49" s="7" t="str">
        <x:v>Remote Hoanib river valley and desert-adapted wildlife</x:v>
      </x:c>
      <x:c r="AW49" s="7" t="str">
        <x:v>Published identifier; reconcile with simulator</x:v>
      </x:c>
      <x:c r="AX49" s="2" t="str">
        <x:v>2026-10-29</x:v>
      </x:c>
    </x:row>
    <x:row r="50" ht="54" customHeight="1">
      <x:c r="A50" s="2" t="str">
        <x:v>FYMW</x:v>
      </x:c>
      <x:c r="B50" s="7" t="str">
        <x:v>Moewe Bay Airport</x:v>
      </x:c>
      <x:c r="C50" s="7" t="str">
        <x:v>Safari</x:v>
      </x:c>
      <x:c r="D50" s="2" t="str">
        <x:v>NA-KU</x:v>
      </x:c>
      <x:c r="E50" s="7" t="str">
        <x:v>Confirmed real-world destination; MSFS status unverified</x:v>
      </x:c>
      <x:c r="F50" s="7" t="str">
        <x:v>Safari: Priority validation</x:v>
      </x:c>
      <x:c r="G50" s="16" t="n">
        <x:v>-19.389049</x:v>
      </x:c>
      <x:c r="H50" s="16" t="n">
        <x:v>12.743769</x:v>
      </x:c>
      <x:c r="I50" s="15" t="n">
        <x:v>30</x:v>
      </x:c>
      <x:c r="J50" s="15"/>
      <x:c r="K50" s="15"/>
      <x:c r="L50" s="2" t="str">
        <x:v>Unknown</x:v>
      </x:c>
      <x:c r="M50" s="2" t="str">
        <x:v>Unknown</x:v>
      </x:c>
      <x:c r="N50" s="7" t="str">
        <x:v>Runway dimensions, width, surface and orientation not established in this pass</x:v>
      </x:c>
      <x:c r="O50" s="7" t="str">
        <x:v>Möwe Bay Skeleton Coast excursion</x:v>
      </x:c>
      <x:c r="P50" s="7" t="str">
        <x:v>Safari: Möwe Bay Skeleton Coast excursion — Lodge/park staff, supplies and conservation equipment now; guest transport only through separately approved passenger capability.</x:v>
      </x:c>
      <x:c r="Q50" s="7" t="str">
        <x:v>No aircraft approved by this research. Unknown/conflicting field data: hold performance clearance; assess each type separately.</x:v>
      </x:c>
      <x:c r="R50" s="7" t="str">
        <x:v>Not returned by 2026-10-16 published scan or 2026-10-27 cached scan; no new query. Search by geography/alternate identifier before custom scenery.</x:v>
      </x:c>
      <x:c r="S50" s="15" t="n">
        <x:v>310.3</x:v>
      </x:c>
      <x:c r="T50" s="15" t="n">
        <x:v>240.4</x:v>
      </x:c>
      <x:c r="U50" s="2" t="n">
        <x:f>IF(S50="","",ROUNDUP(S50*1.10/'Aircraft and method'!C5*60+'Aircraft and method'!D5,0))</x:f>
        <x:v>236</x:v>
      </x:c>
      <x:c r="V50" s="2" t="n">
        <x:f>IF(S50="","",ROUNDUP(S50*1.10/'Aircraft and method'!C6*60+'Aircraft and method'!D6,0))</x:f>
        <x:v>143</x:v>
      </x:c>
      <x:c r="W50" s="2" t="n">
        <x:f>IF(S50="","",ROUNDUP(S50*1.10/'Aircraft and method'!C7*60+'Aircraft and method'!D7,0))</x:f>
        <x:v>128</x:v>
      </x:c>
      <x:c r="X50" s="2" t="n">
        <x:f>IF(S50="","",ROUNDUP(S50*1.10/'Aircraft and method'!C8*60+'Aircraft and method'!D8,0))</x:f>
        <x:v>143</x:v>
      </x:c>
      <x:c r="Y50" s="2" t="n">
        <x:f>IF(S50="","",ROUNDUP(S50*1.10/'Aircraft and method'!C9*60+'Aircraft and method'!D9,0))</x:f>
        <x:v>195</x:v>
      </x:c>
      <x:c r="Z50" s="2" t="n">
        <x:f>IF(S50="","",ROUNDUP(S50*1.10/'Aircraft and method'!C10*60+'Aircraft and method'!D10,0))</x:f>
        <x:v>262</x:v>
      </x:c>
      <x:c r="AA50" s="2" t="n">
        <x:f>IF(T50="","",ROUNDUP(T50*1.10/IF(T50&lt;60,170,'Aircraft and method'!C11)*60+IF(T50&lt;60,10,'Aircraft and method'!D11),0))</x:f>
        <x:v>88</x:v>
      </x:c>
      <x:c r="AB50" s="2" t="n">
        <x:f>IF(T50="","",ROUNDUP(T50*1.10/'Aircraft and method'!C12*60+'Aircraft and method'!D12,0))</x:f>
        <x:v>155</x:v>
      </x:c>
      <x:c r="AC50" s="7" t="str">
        <x:v>Ineligible: no evidenced purpose</x:v>
      </x:c>
      <x:c r="AD50" s="2"/>
      <x:c r="AE50" s="2"/>
      <x:c r="AF50" s="7" t="str">
        <x:v>Eligible purpose</x:v>
      </x:c>
      <x:c r="AG50" s="2" t="n">
        <x:f>IF(Scoring!J50="","",Scoring!J50)</x:f>
        <x:v>67</x:v>
      </x:c>
      <x:c r="AH50" s="2" t="n">
        <x:f>Scoring!P50</x:f>
        <x:v>22</x:v>
      </x:c>
      <x:c r="AI50" s="7" t="str">
        <x:v>Ineligible: no evidenced purpose</x:v>
      </x:c>
      <x:c r="AJ50" s="2"/>
      <x:c r="AK50" s="2"/>
      <x:c r="AL50" s="7" t="str">
        <x:v>Ineligible: no evidenced purpose</x:v>
      </x:c>
      <x:c r="AM50" s="2"/>
      <x:c r="AN50" s="2"/>
      <x:c r="AO50" s="7" t="str">
        <x:v>Safari</x:v>
      </x:c>
      <x:c r="AP50" s="2"/>
      <x:c r="AQ50" s="7" t="str">
        <x:v>https://www.wildernessdestinations.com/africa/namibia/kunene-region/hoanib-skeleton-coast-camp</x:v>
      </x:c>
      <x:c r="AR50" s="7" t="str">
        <x:v>https://ourairports.com/airports/FYMW/</x:v>
      </x:c>
      <x:c r="AS50" s="7" t="str">
        <x:v>OurAirports snapshot 2026-10-29</x:v>
      </x:c>
      <x:c r="AT50" s="7" t="str">
        <x:v>Operator documents fly/drive coastal excursion. Not interchangeable with Shipwreck Lodge/Westies. No dimensions established; absent in recorded list.</x:v>
      </x:c>
      <x:c r="AU50" s="7" t="str">
        <x:v>https://www.openstreetmap.org/?mlat=-19.389049&amp;mlon=12.743769#map=13/-19.389049/12.743769</x:v>
      </x:c>
      <x:c r="AV50" s="7" t="str">
        <x:v>Fog coast, seals, dunes and shipwreck landscape</x:v>
      </x:c>
      <x:c r="AW50" s="7" t="str">
        <x:v>Published identifier; reconcile with simulator</x:v>
      </x:c>
      <x:c r="AX50" s="2" t="str">
        <x:v>2026-10-29</x:v>
      </x:c>
    </x:row>
    <x:row r="51" ht="68" customHeight="1">
      <x:c r="A51" s="2" t="str">
        <x:v>NA-0067</x:v>
      </x:c>
      <x:c r="B51" s="7" t="str">
        <x:v>Geluk Airstrip</x:v>
      </x:c>
      <x:c r="C51" s="7" t="str">
        <x:v>Safari</x:v>
      </x:c>
      <x:c r="D51" s="2" t="str">
        <x:v>NA-HA</x:v>
      </x:c>
      <x:c r="E51" s="7" t="str">
        <x:v>Partially verified</x:v>
      </x:c>
      <x:c r="F51" s="7" t="str">
        <x:v>Safari: Research hold</x:v>
      </x:c>
      <x:c r="G51" s="16" t="n">
        <x:v>-24.6733</x:v>
      </x:c>
      <x:c r="H51" s="16" t="n">
        <x:v>15.7919</x:v>
      </x:c>
      <x:c r="I51" s="15" t="n">
        <x:v>2402</x:v>
      </x:c>
      <x:c r="J51" s="15"/>
      <x:c r="K51" s="15"/>
      <x:c r="L51" s="2" t="str">
        <x:v>Unknown</x:v>
      </x:c>
      <x:c r="M51" s="2" t="str">
        <x:v>Unknown</x:v>
      </x:c>
      <x:c r="N51" s="7" t="str">
        <x:v>Runway dimensions, width, surface and orientation not established in this pass</x:v>
      </x:c>
      <x:c r="O51" s="7" t="str">
        <x:v>Geluk / Wolwedans and Kwessi Dunes transfer lead</x:v>
      </x:c>
      <x:c r="P51" s="7" t="str">
        <x:v>Safari: Geluk / Wolwedans and Kwessi Dunes transfer lead — Lodge/park staff, supplies and conservation equipment now; guest transport only through separately approved passenger capability.</x:v>
      </x:c>
      <x:c r="Q51" s="7" t="str">
        <x:v>No aircraft approved by this research. Unknown/conflicting field data: hold performance clearance; assess each type separately.</x:v>
      </x:c>
      <x:c r="R51" s="7" t="str">
        <x:v>Not queried by this cache; absence cannot be inferred.</x:v>
      </x:c>
      <x:c r="S51" s="15" t="n">
        <x:v>142.9</x:v>
      </x:c>
      <x:c r="T51" s="15" t="n">
        <x:v>119.6</x:v>
      </x:c>
      <x:c r="U51" s="2" t="n">
        <x:f>IF(S51="","",ROUNDUP(S51*1.10/'Aircraft and method'!C5*60+'Aircraft and method'!D5,0))</x:f>
        <x:v>113</x:v>
      </x:c>
      <x:c r="V51" s="2" t="n">
        <x:f>IF(S51="","",ROUNDUP(S51*1.10/'Aircraft and method'!C6*60+'Aircraft and method'!D6,0))</x:f>
        <x:v>71</x:v>
      </x:c>
      <x:c r="W51" s="2" t="n">
        <x:f>IF(S51="","",ROUNDUP(S51*1.10/'Aircraft and method'!C7*60+'Aircraft and method'!D7,0))</x:f>
        <x:v>64</x:v>
      </x:c>
      <x:c r="X51" s="2" t="n">
        <x:f>IF(S51="","",ROUNDUP(S51*1.10/'Aircraft and method'!C8*60+'Aircraft and method'!D8,0))</x:f>
        <x:v>71</x:v>
      </x:c>
      <x:c r="Y51" s="2" t="n">
        <x:f>IF(S51="","",ROUNDUP(S51*1.10/'Aircraft and method'!C9*60+'Aircraft and method'!D9,0))</x:f>
        <x:v>94</x:v>
      </x:c>
      <x:c r="Z51" s="2" t="n">
        <x:f>IF(S51="","",ROUNDUP(S51*1.10/'Aircraft and method'!C10*60+'Aircraft and method'!D10,0))</x:f>
        <x:v>124</x:v>
      </x:c>
      <x:c r="AA51" s="2" t="n">
        <x:f>IF(T51="","",ROUNDUP(T51*1.10/IF(T51&lt;60,170,'Aircraft and method'!C11)*60+IF(T51&lt;60,10,'Aircraft and method'!D11),0))</x:f>
        <x:v>51</x:v>
      </x:c>
      <x:c r="AB51" s="2" t="n">
        <x:f>IF(T51="","",ROUNDUP(T51*1.10/'Aircraft and method'!C12*60+'Aircraft and method'!D12,0))</x:f>
        <x:v>82</x:v>
      </x:c>
      <x:c r="AC51" s="7" t="str">
        <x:v>Ineligible: no evidenced purpose</x:v>
      </x:c>
      <x:c r="AD51" s="2"/>
      <x:c r="AE51" s="2"/>
      <x:c r="AF51" s="7" t="str">
        <x:v>Eligible purpose</x:v>
      </x:c>
      <x:c r="AG51" s="2" t="n">
        <x:f>IF(Scoring!J51="","",Scoring!J51)</x:f>
        <x:v>83</x:v>
      </x:c>
      <x:c r="AH51" s="2" t="n">
        <x:f>Scoring!P51</x:f>
        <x:v>21</x:v>
      </x:c>
      <x:c r="AI51" s="7" t="str">
        <x:v>Ineligible: no evidenced purpose</x:v>
      </x:c>
      <x:c r="AJ51" s="2"/>
      <x:c r="AK51" s="2"/>
      <x:c r="AL51" s="7" t="str">
        <x:v>Ineligible: no evidenced purpose</x:v>
      </x:c>
      <x:c r="AM51" s="2"/>
      <x:c r="AN51" s="2"/>
      <x:c r="AO51" s="7" t="str">
        <x:v>Safari</x:v>
      </x:c>
      <x:c r="AP51" s="2"/>
      <x:c r="AQ51" s="7" t="str">
        <x:v>https://www.wolwedans.com/location-and-access/
https://www.tourismupdate.com/article/natural-selection-namibia-to-launch-scheduled-flying-circuit
https://aopa.org.na/aerodrome/</x:v>
      </x:c>
      <x:c r="AR51" s="7" t="str">
        <x:v>https://ourairports.com/airports/NA-0067/</x:v>
      </x:c>
      <x:c r="AS51" s="7" t="str">
        <x:v>OurAirports snapshot 2026-10-29</x:v>
      </x:c>
      <x:c r="AT51" s="7" t="str">
        <x:v>OurAirports separate field from FYGK; facility transfer association applies to Geluk name but correct runway remains unresolved. Hold both until geography/identifier reconciled.</x:v>
      </x:c>
      <x:c r="AU51" s="7" t="str">
        <x:v>https://www.openstreetmap.org/?mlat=-24.673300&amp;mlon=15.791900#map=13/-24.673300/15.791900</x:v>
      </x:c>
      <x:c r="AV51" s="7" t="str">
        <x:v>Dunes and Sossusvlei desert</x:v>
      </x:c>
      <x:c r="AW51" s="7" t="str">
        <x:v>OurAirports database key, not certified ICAO</x:v>
      </x:c>
      <x:c r="AX51" s="2" t="str">
        <x:v>2026-10-29</x:v>
      </x:c>
    </x:row>
    <x:row r="52" ht="54" customHeight="1">
      <x:c r="A52" s="2" t="str">
        <x:v>FYOO</x:v>
      </x:c>
      <x:c r="B52" s="7" t="str">
        <x:v>Okaukuejo Airport</x:v>
      </x:c>
      <x:c r="C52" s="7" t="str">
        <x:v>Safari</x:v>
      </x:c>
      <x:c r="D52" s="2" t="str">
        <x:v>NA-KU</x:v>
      </x:c>
      <x:c r="E52" s="7" t="str">
        <x:v>Confirmed in MSFS 2024</x:v>
      </x:c>
      <x:c r="F52" s="7" t="str">
        <x:v>Safari: Priority validation</x:v>
      </x:c>
      <x:c r="G52" s="16" t="n">
        <x:v>-19.1492</x:v>
      </x:c>
      <x:c r="H52" s="16" t="n">
        <x:v>15.9119</x:v>
      </x:c>
      <x:c r="I52" s="15" t="n">
        <x:v>3911</x:v>
      </x:c>
      <x:c r="J52" s="15"/>
      <x:c r="K52" s="15"/>
      <x:c r="L52" s="2" t="str">
        <x:v>Unknown</x:v>
      </x:c>
      <x:c r="M52" s="2" t="str">
        <x:v>Unknown</x:v>
      </x:c>
      <x:c r="N52" s="7" t="str">
        <x:v>Runway dimensions, width, surface and orientation not established in this pass</x:v>
      </x:c>
      <x:c r="O52" s="7" t="str">
        <x:v>NWR Okaukuejo resort and park operations</x:v>
      </x:c>
      <x:c r="P52" s="7" t="str">
        <x:v>Safari: NWR Okaukuejo resort and park operations — Lodge/park staff, supplies and conservation equipment now; guest transport only through separately approved passenger capability.</x:v>
      </x:c>
      <x:c r="Q52" s="7" t="str">
        <x:v>No aircraft approved by this research. Unknown/conflicting field data: hold performance clearance; assess each type separately.</x:v>
      </x:c>
      <x:c r="R52" s="7" t="str">
        <x:v>Identifier returned in 2026-10-27 cache; offset 0.1 NM from real-world point. Database presence only; scenery/runway uninspected.</x:v>
      </x:c>
      <x:c r="S52" s="15" t="n">
        <x:v>217.6</x:v>
      </x:c>
      <x:c r="T52" s="15" t="n">
        <x:v>240.7</x:v>
      </x:c>
      <x:c r="U52" s="2" t="n">
        <x:f>IF(S52="","",ROUNDUP(S52*1.10/'Aircraft and method'!C5*60+'Aircraft and method'!D5,0))</x:f>
        <x:v>168</x:v>
      </x:c>
      <x:c r="V52" s="2" t="n">
        <x:f>IF(S52="","",ROUNDUP(S52*1.10/'Aircraft and method'!C6*60+'Aircraft and method'!D6,0))</x:f>
        <x:v>103</x:v>
      </x:c>
      <x:c r="W52" s="2" t="n">
        <x:f>IF(S52="","",ROUNDUP(S52*1.10/'Aircraft and method'!C7*60+'Aircraft and method'!D7,0))</x:f>
        <x:v>93</x:v>
      </x:c>
      <x:c r="X52" s="2" t="n">
        <x:f>IF(S52="","",ROUNDUP(S52*1.10/'Aircraft and method'!C8*60+'Aircraft and method'!D8,0))</x:f>
        <x:v>103</x:v>
      </x:c>
      <x:c r="Y52" s="2" t="n">
        <x:f>IF(S52="","",ROUNDUP(S52*1.10/'Aircraft and method'!C9*60+'Aircraft and method'!D9,0))</x:f>
        <x:v>139</x:v>
      </x:c>
      <x:c r="Z52" s="2" t="n">
        <x:f>IF(S52="","",ROUNDUP(S52*1.10/'Aircraft and method'!C10*60+'Aircraft and method'!D10,0))</x:f>
        <x:v>186</x:v>
      </x:c>
      <x:c r="AA52" s="2" t="n">
        <x:f>IF(T52="","",ROUNDUP(T52*1.10/IF(T52&lt;60,170,'Aircraft and method'!C11)*60+IF(T52&lt;60,10,'Aircraft and method'!D11),0))</x:f>
        <x:v>88</x:v>
      </x:c>
      <x:c r="AB52" s="2" t="n">
        <x:f>IF(T52="","",ROUNDUP(T52*1.10/'Aircraft and method'!C12*60+'Aircraft and method'!D12,0))</x:f>
        <x:v>155</x:v>
      </x:c>
      <x:c r="AC52" s="7" t="str">
        <x:v>Ineligible: no evidenced purpose</x:v>
      </x:c>
      <x:c r="AD52" s="2"/>
      <x:c r="AE52" s="2"/>
      <x:c r="AF52" s="7" t="str">
        <x:v>Eligible purpose</x:v>
      </x:c>
      <x:c r="AG52" s="2" t="n">
        <x:f>IF(Scoring!J52="","",Scoring!J52)</x:f>
        <x:v>88</x:v>
      </x:c>
      <x:c r="AH52" s="2" t="n">
        <x:f>Scoring!P52</x:f>
        <x:v>17</x:v>
      </x:c>
      <x:c r="AI52" s="7" t="str">
        <x:v>Ineligible: no evidenced purpose</x:v>
      </x:c>
      <x:c r="AJ52" s="2"/>
      <x:c r="AK52" s="2"/>
      <x:c r="AL52" s="7" t="str">
        <x:v>Ineligible: no evidenced purpose</x:v>
      </x:c>
      <x:c r="AM52" s="2"/>
      <x:c r="AN52" s="2"/>
      <x:c r="AO52" s="7" t="str">
        <x:v>Safari</x:v>
      </x:c>
      <x:c r="AP52" s="2" t="n">
        <x:v>0.09</x:v>
      </x:c>
      <x:c r="AQ52" s="7" t="str">
        <x:v>https://www.nwr.com.na/resorts/okaukuejo-resort/</x:v>
      </x:c>
      <x:c r="AR52" s="7" t="str">
        <x:v>https://ourairports.com/airports/FYOO/</x:v>
      </x:c>
      <x:c r="AS52" s="7" t="str">
        <x:v>OurAirports snapshot 2026-10-29</x:v>
      </x:c>
      <x:c r="AT52" s="7" t="str">
        <x:v>Real tourism/park service purpose. Confirm park air-access permission and exact runway; not a generic sightseeing landing.</x:v>
      </x:c>
      <x:c r="AU52" s="7" t="str">
        <x:v>https://www.openstreetmap.org/?mlat=-19.149200&amp;mlon=15.911900#map=13/-19.149200/15.911900</x:v>
      </x:c>
      <x:c r="AV52" s="7" t="str">
        <x:v>Etosha pan margin and savanna</x:v>
      </x:c>
      <x:c r="AW52" s="7" t="str">
        <x:v>Published identifier; reconcile with simulator</x:v>
      </x:c>
      <x:c r="AX52" s="2" t="str">
        <x:v>2026-10-29</x:v>
      </x:c>
    </x:row>
    <x:row r="53" ht="54" customHeight="1">
      <x:c r="A53" s="2" t="str">
        <x:v>FYME</x:v>
      </x:c>
      <x:c r="B53" s="7" t="str">
        <x:v>Mount Etjo Airport</x:v>
      </x:c>
      <x:c r="C53" s="7" t="str">
        <x:v>Safari</x:v>
      </x:c>
      <x:c r="D53" s="2" t="str">
        <x:v>NA-OD</x:v>
      </x:c>
      <x:c r="E53" s="7" t="str">
        <x:v>Confirmed in MSFS 2024</x:v>
      </x:c>
      <x:c r="F53" s="7" t="str">
        <x:v>Safari: Priority validation</x:v>
      </x:c>
      <x:c r="G53" s="16" t="n">
        <x:v>-21.0233001709</x:v>
      </x:c>
      <x:c r="H53" s="16" t="n">
        <x:v>16.4528007507</x:v>
      </x:c>
      <x:c r="I53" s="15" t="n">
        <x:v>5000</x:v>
      </x:c>
      <x:c r="J53" s="15"/>
      <x:c r="K53" s="15"/>
      <x:c r="L53" s="2" t="str">
        <x:v>Unknown</x:v>
      </x:c>
      <x:c r="M53" s="2" t="str">
        <x:v>Unknown</x:v>
      </x:c>
      <x:c r="N53" s="7" t="str">
        <x:v>Runway dimensions, width, surface and orientation not established in this pass</x:v>
      </x:c>
      <x:c r="O53" s="7" t="str">
        <x:v>Mount Etjo Safari Lodge</x:v>
      </x:c>
      <x:c r="P53" s="7" t="str">
        <x:v>Safari: Mount Etjo Safari Lodge — Lodge/park staff, supplies and conservation equipment now; guest transport only through separately approved passenger capability.</x:v>
      </x:c>
      <x:c r="Q53" s="7" t="str">
        <x:v>No aircraft approved by this research. Unknown/conflicting field data: hold performance clearance; assess each type separately.</x:v>
      </x:c>
      <x:c r="R53" s="7" t="str">
        <x:v>Identifier returned in 2026-10-27 cache; offset 0.1 NM from real-world point. Database presence only; scenery/runway uninspected.</x:v>
      </x:c>
      <x:c r="S53" s="15" t="n">
        <x:v>101.2</x:v>
      </x:c>
      <x:c r="T53" s="15" t="n">
        <x:v>154.7</x:v>
      </x:c>
      <x:c r="U53" s="2" t="n">
        <x:f>IF(S53="","",ROUNDUP(S53*1.10/'Aircraft and method'!C5*60+'Aircraft and method'!D5,0))</x:f>
        <x:v>83</x:v>
      </x:c>
      <x:c r="V53" s="2" t="n">
        <x:f>IF(S53="","",ROUNDUP(S53*1.10/'Aircraft and method'!C6*60+'Aircraft and method'!D6,0))</x:f>
        <x:v>54</x:v>
      </x:c>
      <x:c r="W53" s="2" t="n">
        <x:f>IF(S53="","",ROUNDUP(S53*1.10/'Aircraft and method'!C7*60+'Aircraft and method'!D7,0))</x:f>
        <x:v>49</x:v>
      </x:c>
      <x:c r="X53" s="2" t="n">
        <x:f>IF(S53="","",ROUNDUP(S53*1.10/'Aircraft and method'!C8*60+'Aircraft and method'!D8,0))</x:f>
        <x:v>54</x:v>
      </x:c>
      <x:c r="Y53" s="2" t="n">
        <x:f>IF(S53="","",ROUNDUP(S53*1.10/'Aircraft and method'!C9*60+'Aircraft and method'!D9,0))</x:f>
        <x:v>69</x:v>
      </x:c>
      <x:c r="Z53" s="2" t="n">
        <x:f>IF(S53="","",ROUNDUP(S53*1.10/'Aircraft and method'!C10*60+'Aircraft and method'!D10,0))</x:f>
        <x:v>90</x:v>
      </x:c>
      <x:c r="AA53" s="2" t="n">
        <x:f>IF(T53="","",ROUNDUP(T53*1.10/IF(T53&lt;60,170,'Aircraft and method'!C11)*60+IF(T53&lt;60,10,'Aircraft and method'!D11),0))</x:f>
        <x:v>62</x:v>
      </x:c>
      <x:c r="AB53" s="2" t="n">
        <x:f>IF(T53="","",ROUNDUP(T53*1.10/'Aircraft and method'!C12*60+'Aircraft and method'!D12,0))</x:f>
        <x:v>103</x:v>
      </x:c>
      <x:c r="AC53" s="7" t="str">
        <x:v>Ineligible: no evidenced purpose</x:v>
      </x:c>
      <x:c r="AD53" s="2"/>
      <x:c r="AE53" s="2"/>
      <x:c r="AF53" s="7" t="str">
        <x:v>Eligible purpose</x:v>
      </x:c>
      <x:c r="AG53" s="2" t="n">
        <x:f>IF(Scoring!J53="","",Scoring!J53)</x:f>
        <x:v>88</x:v>
      </x:c>
      <x:c r="AH53" s="2" t="n">
        <x:f>Scoring!P53</x:f>
        <x:v>20</x:v>
      </x:c>
      <x:c r="AI53" s="7" t="str">
        <x:v>Ineligible: no evidenced purpose</x:v>
      </x:c>
      <x:c r="AJ53" s="2"/>
      <x:c r="AK53" s="2"/>
      <x:c r="AL53" s="7" t="str">
        <x:v>Ineligible: no evidenced purpose</x:v>
      </x:c>
      <x:c r="AM53" s="2"/>
      <x:c r="AN53" s="2"/>
      <x:c r="AO53" s="7" t="str">
        <x:v>Safari</x:v>
      </x:c>
      <x:c r="AP53" s="2" t="n">
        <x:v>0.05</x:v>
      </x:c>
      <x:c r="AQ53" s="7" t="str">
        <x:v>https://online.flipbuilder.com/aitt/bets/files/basic-html/page180.html</x:v>
      </x:c>
      <x:c r="AR53" s="7" t="str">
        <x:v>https://ourairports.com/airports/FYME/</x:v>
      </x:c>
      <x:c r="AS53" s="7" t="str">
        <x:v>OurAirports snapshot 2026-10-29</x:v>
      </x:c>
      <x:c r="AT53" s="7" t="str">
        <x:v>Facility and field location corroborated; public runway details missing. Particularly useful short Eros sector.</x:v>
      </x:c>
      <x:c r="AU53" s="7" t="str">
        <x:v>https://www.openstreetmap.org/?mlat=-21.023300&amp;mlon=16.452801#map=13/-21.023300/16.452801</x:v>
      </x:c>
      <x:c r="AV53" s="7" t="str">
        <x:v>Mount Etjo massif and savanna</x:v>
      </x:c>
      <x:c r="AW53" s="7" t="str">
        <x:v>Published identifier; reconcile with simulator</x:v>
      </x:c>
      <x:c r="AX53" s="2" t="str">
        <x:v>2026-10-29</x:v>
      </x:c>
    </x:row>
    <x:row r="54" ht="68" customHeight="1">
      <x:c r="A54" s="2" t="str">
        <x:v>FYKN</x:v>
      </x:c>
      <x:c r="B54" s="7" t="str">
        <x:v>Okonjima Airport</x:v>
      </x:c>
      <x:c r="C54" s="7" t="str">
        <x:v>Safari</x:v>
      </x:c>
      <x:c r="D54" s="2" t="str">
        <x:v>NA-OD</x:v>
      </x:c>
      <x:c r="E54" s="7" t="str">
        <x:v>Confirmed real-world destination; MSFS status unverified</x:v>
      </x:c>
      <x:c r="F54" s="7" t="str">
        <x:v>Safari: Priority validation</x:v>
      </x:c>
      <x:c r="G54" s="16" t="n">
        <x:v>-20.866986</x:v>
      </x:c>
      <x:c r="H54" s="16" t="n">
        <x:v>16.639363</x:v>
      </x:c>
      <x:c r="I54" s="15" t="n">
        <x:v>5357</x:v>
      </x:c>
      <x:c r="J54" s="15"/>
      <x:c r="K54" s="15"/>
      <x:c r="L54" s="2" t="str">
        <x:v>Unknown</x:v>
      </x:c>
      <x:c r="M54" s="2" t="str">
        <x:v>Unknown</x:v>
      </x:c>
      <x:c r="N54" s="7" t="str">
        <x:v>1300 m; compact dirt/sand; 05/23; width unknown</x:v>
      </x:c>
      <x:c r="O54" s="7" t="str">
        <x:v>Okonjima Nature Reserve / AfriCat</x:v>
      </x:c>
      <x:c r="P54" s="7" t="str">
        <x:v>Safari: Okonjima Nature Reserve / AfriCat — Lodge/park staff, supplies and conservation equipment now; guest transport only through separately approved passenger capability.</x:v>
      </x:c>
      <x:c r="Q54" s="7" t="str">
        <x:v>No aircraft approved by this research. Unknown/conflicting field data: hold performance clearance; assess each type separately.</x:v>
      </x:c>
      <x:c r="R54" s="7" t="str">
        <x:v>Not queried by this cache; absence cannot be inferred.</x:v>
      </x:c>
      <x:c r="S54" s="15" t="n">
        <x:v>107.2</x:v>
      </x:c>
      <x:c r="T54" s="15" t="n">
        <x:v>168.6</x:v>
      </x:c>
      <x:c r="U54" s="2" t="n">
        <x:f>IF(S54="","",ROUNDUP(S54*1.10/'Aircraft and method'!C5*60+'Aircraft and method'!D5,0))</x:f>
        <x:v>87</x:v>
      </x:c>
      <x:c r="V54" s="2" t="n">
        <x:f>IF(S54="","",ROUNDUP(S54*1.10/'Aircraft and method'!C6*60+'Aircraft and method'!D6,0))</x:f>
        <x:v>56</x:v>
      </x:c>
      <x:c r="W54" s="2" t="n">
        <x:f>IF(S54="","",ROUNDUP(S54*1.10/'Aircraft and method'!C7*60+'Aircraft and method'!D7,0))</x:f>
        <x:v>51</x:v>
      </x:c>
      <x:c r="X54" s="2" t="n">
        <x:f>IF(S54="","",ROUNDUP(S54*1.10/'Aircraft and method'!C8*60+'Aircraft and method'!D8,0))</x:f>
        <x:v>56</x:v>
      </x:c>
      <x:c r="Y54" s="2" t="n">
        <x:f>IF(S54="","",ROUNDUP(S54*1.10/'Aircraft and method'!C9*60+'Aircraft and method'!D9,0))</x:f>
        <x:v>73</x:v>
      </x:c>
      <x:c r="Z54" s="2" t="n">
        <x:f>IF(S54="","",ROUNDUP(S54*1.10/'Aircraft and method'!C10*60+'Aircraft and method'!D10,0))</x:f>
        <x:v>95</x:v>
      </x:c>
      <x:c r="AA54" s="2" t="n">
        <x:f>IF(T54="","",ROUNDUP(T54*1.10/IF(T54&lt;60,170,'Aircraft and method'!C11)*60+IF(T54&lt;60,10,'Aircraft and method'!D11),0))</x:f>
        <x:v>66</x:v>
      </x:c>
      <x:c r="AB54" s="2" t="n">
        <x:f>IF(T54="","",ROUNDUP(T54*1.10/'Aircraft and method'!C12*60+'Aircraft and method'!D12,0))</x:f>
        <x:v>112</x:v>
      </x:c>
      <x:c r="AC54" s="7" t="str">
        <x:v>Ineligible: no evidenced purpose</x:v>
      </x:c>
      <x:c r="AD54" s="2"/>
      <x:c r="AE54" s="2"/>
      <x:c r="AF54" s="7" t="str">
        <x:v>Eligible purpose</x:v>
      </x:c>
      <x:c r="AG54" s="2" t="n">
        <x:f>IF(Scoring!J54="","",Scoring!J54)</x:f>
        <x:v>94</x:v>
      </x:c>
      <x:c r="AH54" s="2" t="n">
        <x:f>Scoring!P54</x:f>
        <x:v>21</x:v>
      </x:c>
      <x:c r="AI54" s="7" t="str">
        <x:v>Ineligible: no evidenced purpose</x:v>
      </x:c>
      <x:c r="AJ54" s="2"/>
      <x:c r="AK54" s="2"/>
      <x:c r="AL54" s="7" t="str">
        <x:v>Ineligible: no evidenced purpose</x:v>
      </x:c>
      <x:c r="AM54" s="2"/>
      <x:c r="AN54" s="2"/>
      <x:c r="AO54" s="7" t="str">
        <x:v>Safari</x:v>
      </x:c>
      <x:c r="AP54" s="2"/>
      <x:c r="AQ54" s="7" t="str">
        <x:v>https://okonjima.com/wp-content/uploads/2022/05/Directions-Okonjima.pdf
https://okonjima.com/wp-content/uploads/2019/10/okonjima-MAIN-brochure-A5-may_19_NEW_final_for_web.pdf</x:v>
      </x:c>
      <x:c r="AR54" s="7" t="str">
        <x:v>https://ourairports.com/airports/FYKN/</x:v>
      </x:c>
      <x:c r="AS54" s="7" t="str">
        <x:v>OurAirports snapshot 2026-10-29</x:v>
      </x:c>
      <x:c r="AT54" s="7" t="str">
        <x:v>Operator 1300 m dirt/sand, 05/23; elevation 5430 ft vs OurAirports 5357 ft. Mountains/power line/fence require review. Identifier newly researched, not queried.</x:v>
      </x:c>
      <x:c r="AU54" s="7" t="str">
        <x:v>https://www.openstreetmap.org/?mlat=-20.866986&amp;mlon=16.639363#map=13/-20.866986/16.639363</x:v>
      </x:c>
      <x:c r="AV54" s="7" t="str">
        <x:v>Valley between mountain ranges</x:v>
      </x:c>
      <x:c r="AW54" s="7" t="str">
        <x:v>Published identifier; reconcile with simulator</x:v>
      </x:c>
      <x:c r="AX54" s="2" t="str">
        <x:v>2026-10-29</x:v>
      </x:c>
    </x:row>
    <x:row r="55" ht="54" customHeight="1">
      <x:c r="A55" s="2" t="str">
        <x:v>FYHI</x:v>
      </x:c>
      <x:c r="B55" s="7" t="str">
        <x:v>Halali Airport</x:v>
      </x:c>
      <x:c r="C55" s="7" t="str">
        <x:v>Safari</x:v>
      </x:c>
      <x:c r="D55" s="2" t="str">
        <x:v>NA-OT</x:v>
      </x:c>
      <x:c r="E55" s="7" t="str">
        <x:v>Confirmed real-world destination; MSFS status unverified</x:v>
      </x:c>
      <x:c r="F55" s="7" t="str">
        <x:v>Safari: Priority validation</x:v>
      </x:c>
      <x:c r="G55" s="16" t="n">
        <x:v>-19.0285</x:v>
      </x:c>
      <x:c r="H55" s="16" t="n">
        <x:v>16.4585</x:v>
      </x:c>
      <x:c r="I55" s="15" t="n">
        <x:v>3639</x:v>
      </x:c>
      <x:c r="J55" s="15"/>
      <x:c r="K55" s="15"/>
      <x:c r="L55" s="2" t="str">
        <x:v>Unknown</x:v>
      </x:c>
      <x:c r="M55" s="2" t="str">
        <x:v>Unknown</x:v>
      </x:c>
      <x:c r="N55" s="7" t="str">
        <x:v>Runway dimensions, width, surface and orientation not established in this pass</x:v>
      </x:c>
      <x:c r="O55" s="7" t="str">
        <x:v>NWR Halali resort and park operations</x:v>
      </x:c>
      <x:c r="P55" s="7" t="str">
        <x:v>Safari: NWR Halali resort and park operations — Lodge/park staff, supplies and conservation equipment now; guest transport only through separately approved passenger capability.</x:v>
      </x:c>
      <x:c r="Q55" s="7" t="str">
        <x:v>No aircraft approved by this research. Unknown/conflicting field data: hold performance clearance; assess each type separately.</x:v>
      </x:c>
      <x:c r="R55" s="7" t="str">
        <x:v>Not queried by this cache; absence cannot be inferred.</x:v>
      </x:c>
      <x:c r="S55" s="15" t="n">
        <x:v>217.5</x:v>
      </x:c>
      <x:c r="T55" s="15" t="n">
        <x:v>258.1</x:v>
      </x:c>
      <x:c r="U55" s="2" t="n">
        <x:f>IF(S55="","",ROUNDUP(S55*1.10/'Aircraft and method'!C5*60+'Aircraft and method'!D5,0))</x:f>
        <x:v>168</x:v>
      </x:c>
      <x:c r="V55" s="2" t="n">
        <x:f>IF(S55="","",ROUNDUP(S55*1.10/'Aircraft and method'!C6*60+'Aircraft and method'!D6,0))</x:f>
        <x:v>103</x:v>
      </x:c>
      <x:c r="W55" s="2" t="n">
        <x:f>IF(S55="","",ROUNDUP(S55*1.10/'Aircraft and method'!C7*60+'Aircraft and method'!D7,0))</x:f>
        <x:v>93</x:v>
      </x:c>
      <x:c r="X55" s="2" t="n">
        <x:f>IF(S55="","",ROUNDUP(S55*1.10/'Aircraft and method'!C8*60+'Aircraft and method'!D8,0))</x:f>
        <x:v>103</x:v>
      </x:c>
      <x:c r="Y55" s="2" t="n">
        <x:f>IF(S55="","",ROUNDUP(S55*1.10/'Aircraft and method'!C9*60+'Aircraft and method'!D9,0))</x:f>
        <x:v>139</x:v>
      </x:c>
      <x:c r="Z55" s="2" t="n">
        <x:f>IF(S55="","",ROUNDUP(S55*1.10/'Aircraft and method'!C10*60+'Aircraft and method'!D10,0))</x:f>
        <x:v>186</x:v>
      </x:c>
      <x:c r="AA55" s="2" t="n">
        <x:f>IF(T55="","",ROUNDUP(T55*1.10/IF(T55&lt;60,170,'Aircraft and method'!C11)*60+IF(T55&lt;60,10,'Aircraft and method'!D11),0))</x:f>
        <x:v>93</x:v>
      </x:c>
      <x:c r="AB55" s="2" t="n">
        <x:f>IF(T55="","",ROUNDUP(T55*1.10/'Aircraft and method'!C12*60+'Aircraft and method'!D12,0))</x:f>
        <x:v>165</x:v>
      </x:c>
      <x:c r="AC55" s="7" t="str">
        <x:v>Ineligible: no evidenced purpose</x:v>
      </x:c>
      <x:c r="AD55" s="2"/>
      <x:c r="AE55" s="2"/>
      <x:c r="AF55" s="7" t="str">
        <x:v>Eligible purpose</x:v>
      </x:c>
      <x:c r="AG55" s="2" t="n">
        <x:f>IF(Scoring!J55="","",Scoring!J55)</x:f>
        <x:v>71</x:v>
      </x:c>
      <x:c r="AH55" s="2" t="n">
        <x:f>Scoring!P55</x:f>
        <x:v>17</x:v>
      </x:c>
      <x:c r="AI55" s="7" t="str">
        <x:v>Ineligible: no evidenced purpose</x:v>
      </x:c>
      <x:c r="AJ55" s="2"/>
      <x:c r="AK55" s="2"/>
      <x:c r="AL55" s="7" t="str">
        <x:v>Ineligible: no evidenced purpose</x:v>
      </x:c>
      <x:c r="AM55" s="2"/>
      <x:c r="AN55" s="2"/>
      <x:c r="AO55" s="7" t="str"/>
      <x:c r="AP55" s="2"/>
      <x:c r="AQ55" s="7" t="str">
        <x:v>https://www.nwr.com.na/resorts/halali-resort/</x:v>
      </x:c>
      <x:c r="AR55" s="7" t="str">
        <x:v>https://ourairports.com/airports/FYHI/</x:v>
      </x:c>
      <x:c r="AS55" s="7" t="str">
        <x:v>OurAirports snapshot 2026-10-29</x:v>
      </x:c>
      <x:c r="AT55" s="7" t="str">
        <x:v>Tourism purpose verified; air access/permission not established by resort existence.</x:v>
      </x:c>
      <x:c r="AU55" s="7" t="str">
        <x:v>https://www.openstreetmap.org/?mlat=-19.028500&amp;mlon=16.458500#map=13/-19.028500/16.458500</x:v>
      </x:c>
      <x:c r="AV55" s="7" t="str">
        <x:v>Etosha woodland, dolomite hills and waterholes</x:v>
      </x:c>
      <x:c r="AW55" s="7" t="str">
        <x:v>Published identifier; reconcile with simulator</x:v>
      </x:c>
      <x:c r="AX55" s="2" t="str">
        <x:v>2026-10-29</x:v>
      </x:c>
    </x:row>
    <x:row r="56" ht="54" customHeight="1">
      <x:c r="A56" s="2" t="str">
        <x:v>FYNA</x:v>
      </x:c>
      <x:c r="B56" s="7" t="str">
        <x:v>Namutoni Airport</x:v>
      </x:c>
      <x:c r="C56" s="7" t="str">
        <x:v>Safari</x:v>
      </x:c>
      <x:c r="D56" s="2" t="str">
        <x:v>NA-OT</x:v>
      </x:c>
      <x:c r="E56" s="7" t="str">
        <x:v>Confirmed real-world destination; MSFS status unverified</x:v>
      </x:c>
      <x:c r="F56" s="7" t="str">
        <x:v>Safari: Priority validation</x:v>
      </x:c>
      <x:c r="G56" s="16" t="n">
        <x:v>-18.8064</x:v>
      </x:c>
      <x:c r="H56" s="16" t="n">
        <x:v>16.9272</x:v>
      </x:c>
      <x:c r="I56" s="15" t="n">
        <x:v>3579</x:v>
      </x:c>
      <x:c r="J56" s="15"/>
      <x:c r="K56" s="15"/>
      <x:c r="L56" s="2" t="str">
        <x:v>Unknown</x:v>
      </x:c>
      <x:c r="M56" s="2" t="str">
        <x:v>Unknown</x:v>
      </x:c>
      <x:c r="N56" s="7" t="str">
        <x:v>Runway dimensions, width, surface and orientation not established in this pass</x:v>
      </x:c>
      <x:c r="O56" s="7" t="str">
        <x:v>NWR Namutoni resort and eastern Etosha</x:v>
      </x:c>
      <x:c r="P56" s="7" t="str">
        <x:v>Safari: NWR Namutoni resort and eastern Etosha — Lodge/park staff, supplies and conservation equipment now; guest transport only through separately approved passenger capability.</x:v>
      </x:c>
      <x:c r="Q56" s="7" t="str">
        <x:v>No aircraft approved by this research. Unknown/conflicting field data: hold performance clearance; assess each type separately.</x:v>
      </x:c>
      <x:c r="R56" s="7" t="str">
        <x:v>Not queried by this cache; absence cannot be inferred.</x:v>
      </x:c>
      <x:c r="S56" s="15" t="n">
        <x:v>228.2</x:v>
      </x:c>
      <x:c r="T56" s="15" t="n">
        <x:v>281.3</x:v>
      </x:c>
      <x:c r="U56" s="2" t="n">
        <x:f>IF(S56="","",ROUNDUP(S56*1.10/'Aircraft and method'!C5*60+'Aircraft and method'!D5,0))</x:f>
        <x:v>176</x:v>
      </x:c>
      <x:c r="V56" s="2" t="n">
        <x:f>IF(S56="","",ROUNDUP(S56*1.10/'Aircraft and method'!C6*60+'Aircraft and method'!D6,0))</x:f>
        <x:v>108</x:v>
      </x:c>
      <x:c r="W56" s="2" t="n">
        <x:f>IF(S56="","",ROUNDUP(S56*1.10/'Aircraft and method'!C7*60+'Aircraft and method'!D7,0))</x:f>
        <x:v>97</x:v>
      </x:c>
      <x:c r="X56" s="2" t="n">
        <x:f>IF(S56="","",ROUNDUP(S56*1.10/'Aircraft and method'!C8*60+'Aircraft and method'!D8,0))</x:f>
        <x:v>108</x:v>
      </x:c>
      <x:c r="Y56" s="2" t="n">
        <x:f>IF(S56="","",ROUNDUP(S56*1.10/'Aircraft and method'!C9*60+'Aircraft and method'!D9,0))</x:f>
        <x:v>145</x:v>
      </x:c>
      <x:c r="Z56" s="2" t="n">
        <x:f>IF(S56="","",ROUNDUP(S56*1.10/'Aircraft and method'!C10*60+'Aircraft and method'!D10,0))</x:f>
        <x:v>195</x:v>
      </x:c>
      <x:c r="AA56" s="2" t="n">
        <x:f>IF(T56="","",ROUNDUP(T56*1.10/IF(T56&lt;60,170,'Aircraft and method'!C11)*60+IF(T56&lt;60,10,'Aircraft and method'!D11),0))</x:f>
        <x:v>100</x:v>
      </x:c>
      <x:c r="AB56" s="2" t="n">
        <x:f>IF(T56="","",ROUNDUP(T56*1.10/'Aircraft and method'!C12*60+'Aircraft and method'!D12,0))</x:f>
        <x:v>179</x:v>
      </x:c>
      <x:c r="AC56" s="7" t="str">
        <x:v>Ineligible: no evidenced purpose</x:v>
      </x:c>
      <x:c r="AD56" s="2"/>
      <x:c r="AE56" s="2"/>
      <x:c r="AF56" s="7" t="str">
        <x:v>Eligible purpose</x:v>
      </x:c>
      <x:c r="AG56" s="2" t="n">
        <x:f>IF(Scoring!J56="","",Scoring!J56)</x:f>
        <x:v>71</x:v>
      </x:c>
      <x:c r="AH56" s="2" t="n">
        <x:f>Scoring!P56</x:f>
        <x:v>17</x:v>
      </x:c>
      <x:c r="AI56" s="7" t="str">
        <x:v>Ineligible: no evidenced purpose</x:v>
      </x:c>
      <x:c r="AJ56" s="2"/>
      <x:c r="AK56" s="2"/>
      <x:c r="AL56" s="7" t="str">
        <x:v>Ineligible: no evidenced purpose</x:v>
      </x:c>
      <x:c r="AM56" s="2"/>
      <x:c r="AN56" s="2"/>
      <x:c r="AO56" s="7" t="str"/>
      <x:c r="AP56" s="2"/>
      <x:c r="AQ56" s="7" t="str">
        <x:v>https://www.nwr.com.na/icheephu/2024/07/NWR-Fact-Sheets-2024.pdf</x:v>
      </x:c>
      <x:c r="AR56" s="7" t="str">
        <x:v>https://ourairports.com/airports/FYNA/</x:v>
      </x:c>
      <x:c r="AS56" s="7" t="str">
        <x:v>OurAirports snapshot 2026-10-29</x:v>
      </x:c>
      <x:c r="AT56" s="7" t="str">
        <x:v>Resort purpose documented; runway details and current visitor air access unverified.</x:v>
      </x:c>
      <x:c r="AU56" s="7" t="str">
        <x:v>https://www.openstreetmap.org/?mlat=-18.806400&amp;mlon=16.927200#map=13/-18.806400/16.927200</x:v>
      </x:c>
      <x:c r="AV56" s="7" t="str">
        <x:v>Eastern Etosha pan and woodland</x:v>
      </x:c>
      <x:c r="AW56" s="7" t="str">
        <x:v>Published identifier; reconcile with simulator</x:v>
      </x:c>
      <x:c r="AX56" s="2" t="str">
        <x:v>2026-10-29</x:v>
      </x:c>
    </x:row>
    <x:row r="57" ht="54" customHeight="1">
      <x:c r="A57" s="2" t="str">
        <x:v>FYDC</x:v>
      </x:c>
      <x:c r="B57" s="7" t="str">
        <x:v>Damaraland Wilderness Camp Airstrip</x:v>
      </x:c>
      <x:c r="C57" s="7" t="str">
        <x:v>Safari</x:v>
      </x:c>
      <x:c r="D57" s="2" t="str">
        <x:v>NA-KU</x:v>
      </x:c>
      <x:c r="E57" s="7" t="str">
        <x:v>Confirmed real-world destination; MSFS status unverified</x:v>
      </x:c>
      <x:c r="F57" s="7" t="str">
        <x:v>Safari: Priority validation</x:v>
      </x:c>
      <x:c r="G57" s="16" t="n">
        <x:v>-20.431705</x:v>
      </x:c>
      <x:c r="H57" s="16" t="n">
        <x:v>14.127124</x:v>
      </x:c>
      <x:c r="I57" s="15" t="n">
        <x:v>1604</x:v>
      </x:c>
      <x:c r="J57" s="15"/>
      <x:c r="K57" s="15"/>
      <x:c r="L57" s="2" t="str">
        <x:v>Unknown</x:v>
      </x:c>
      <x:c r="M57" s="2" t="str">
        <x:v>Unknown</x:v>
      </x:c>
      <x:c r="N57" s="7" t="str">
        <x:v>Runway dimensions, width, surface and orientation not established in this pass</x:v>
      </x:c>
      <x:c r="O57" s="7" t="str">
        <x:v>Wilderness Damaraland Camp / Torra Conservancy</x:v>
      </x:c>
      <x:c r="P57" s="7" t="str">
        <x:v>Safari: Wilderness Damaraland Camp / Torra Conservancy — Lodge/park staff, supplies and conservation equipment now; guest transport only through separately approved passenger capability.</x:v>
      </x:c>
      <x:c r="Q57" s="7" t="str">
        <x:v>No aircraft approved by this research. Unknown/conflicting field data: hold performance clearance; assess each type separately.</x:v>
      </x:c>
      <x:c r="R57" s="7" t="str">
        <x:v>Not queried by this cache; absence cannot be inferred.</x:v>
      </x:c>
      <x:c r="S57" s="15" t="n">
        <x:v>210.2</x:v>
      </x:c>
      <x:c r="T57" s="15" t="n">
        <x:v>155.7</x:v>
      </x:c>
      <x:c r="U57" s="2" t="n">
        <x:f>IF(S57="","",ROUNDUP(S57*1.10/'Aircraft and method'!C5*60+'Aircraft and method'!D5,0))</x:f>
        <x:v>163</x:v>
      </x:c>
      <x:c r="V57" s="2" t="n">
        <x:f>IF(S57="","",ROUNDUP(S57*1.10/'Aircraft and method'!C6*60+'Aircraft and method'!D6,0))</x:f>
        <x:v>100</x:v>
      </x:c>
      <x:c r="W57" s="2" t="n">
        <x:f>IF(S57="","",ROUNDUP(S57*1.10/'Aircraft and method'!C7*60+'Aircraft and method'!D7,0))</x:f>
        <x:v>90</x:v>
      </x:c>
      <x:c r="X57" s="2" t="n">
        <x:f>IF(S57="","",ROUNDUP(S57*1.10/'Aircraft and method'!C8*60+'Aircraft and method'!D8,0))</x:f>
        <x:v>100</x:v>
      </x:c>
      <x:c r="Y57" s="2" t="n">
        <x:f>IF(S57="","",ROUNDUP(S57*1.10/'Aircraft and method'!C9*60+'Aircraft and method'!D9,0))</x:f>
        <x:v>135</x:v>
      </x:c>
      <x:c r="Z57" s="2" t="n">
        <x:f>IF(S57="","",ROUNDUP(S57*1.10/'Aircraft and method'!C10*60+'Aircraft and method'!D10,0))</x:f>
        <x:v>180</x:v>
      </x:c>
      <x:c r="AA57" s="2" t="n">
        <x:f>IF(T57="","",ROUNDUP(T57*1.10/IF(T57&lt;60,170,'Aircraft and method'!C11)*60+IF(T57&lt;60,10,'Aircraft and method'!D11),0))</x:f>
        <x:v>62</x:v>
      </x:c>
      <x:c r="AB57" s="2" t="n">
        <x:f>IF(T57="","",ROUNDUP(T57*1.10/'Aircraft and method'!C12*60+'Aircraft and method'!D12,0))</x:f>
        <x:v>104</x:v>
      </x:c>
      <x:c r="AC57" s="7" t="str">
        <x:v>Ineligible: no evidenced purpose</x:v>
      </x:c>
      <x:c r="AD57" s="2"/>
      <x:c r="AE57" s="2"/>
      <x:c r="AF57" s="7" t="str">
        <x:v>Eligible purpose</x:v>
      </x:c>
      <x:c r="AG57" s="2" t="n">
        <x:f>IF(Scoring!J57="","",Scoring!J57)</x:f>
        <x:v>88</x:v>
      </x:c>
      <x:c r="AH57" s="2" t="n">
        <x:f>Scoring!P57</x:f>
        <x:v>22</x:v>
      </x:c>
      <x:c r="AI57" s="7" t="str">
        <x:v>Ineligible: no evidenced purpose</x:v>
      </x:c>
      <x:c r="AJ57" s="2"/>
      <x:c r="AK57" s="2"/>
      <x:c r="AL57" s="7" t="str">
        <x:v>Ineligible: no evidenced purpose</x:v>
      </x:c>
      <x:c r="AM57" s="2"/>
      <x:c r="AN57" s="2"/>
      <x:c r="AO57" s="7" t="str"/>
      <x:c r="AP57" s="2"/>
      <x:c r="AQ57" s="7" t="str">
        <x:v>https://www.wildernessdestinations.com/africa/namibia/damaraland/damaraland-camp</x:v>
      </x:c>
      <x:c r="AR57" s="7" t="str">
        <x:v>https://ourairports.com/airports/FYDC/</x:v>
      </x:c>
      <x:c r="AS57" s="7" t="str">
        <x:v>OurAirports snapshot 2026-10-29</x:v>
      </x:c>
      <x:c r="AT57" s="7" t="str">
        <x:v>Strong lodge/conservancy purpose; strip record alone does not establish current landing permission.</x:v>
      </x:c>
      <x:c r="AU57" s="7" t="str">
        <x:v>https://www.openstreetmap.org/?mlat=-20.431705&amp;mlon=14.127124#map=13/-20.431705/14.127124</x:v>
      </x:c>
      <x:c r="AV57" s="7" t="str">
        <x:v>Huab Valley, plains and rugged mountains</x:v>
      </x:c>
      <x:c r="AW57" s="7" t="str">
        <x:v>Published identifier; reconcile with simulator</x:v>
      </x:c>
      <x:c r="AX57" s="2" t="str">
        <x:v>2026-10-29</x:v>
      </x:c>
    </x:row>
    <x:row r="58" ht="54" customHeight="1">
      <x:c r="A58" s="2" t="str">
        <x:v>FYEA</x:v>
      </x:c>
      <x:c r="B58" s="7" t="str">
        <x:v>Etendeka Airstrip</x:v>
      </x:c>
      <x:c r="C58" s="7" t="str">
        <x:v>Safari</x:v>
      </x:c>
      <x:c r="D58" s="2" t="str">
        <x:v>NA-KU</x:v>
      </x:c>
      <x:c r="E58" s="7" t="str">
        <x:v>Confirmed real-world destination; MSFS status unverified</x:v>
      </x:c>
      <x:c r="F58" s="7" t="str">
        <x:v>Safari: Priority validation</x:v>
      </x:c>
      <x:c r="G58" s="16" t="n">
        <x:v>-19.803039</x:v>
      </x:c>
      <x:c r="H58" s="16" t="n">
        <x:v>13.928163</x:v>
      </x:c>
      <x:c r="I58" s="15" t="n">
        <x:v>3246</x:v>
      </x:c>
      <x:c r="J58" s="15"/>
      <x:c r="K58" s="15"/>
      <x:c r="L58" s="2" t="str">
        <x:v>Unknown</x:v>
      </x:c>
      <x:c r="M58" s="2" t="str">
        <x:v>Unknown</x:v>
      </x:c>
      <x:c r="N58" s="7" t="str">
        <x:v>1000 m gravel (secondary description); width/orientation unverified</x:v>
      </x:c>
      <x:c r="O58" s="7" t="str">
        <x:v>Etendeka Mountain Camp</x:v>
      </x:c>
      <x:c r="P58" s="7" t="str">
        <x:v>Safari: Etendeka Mountain Camp — Lodge/park staff, supplies and conservation equipment now; guest transport only through separately approved passenger capability.</x:v>
      </x:c>
      <x:c r="Q58" s="7" t="str">
        <x:v>No aircraft approved by this research. Unknown/conflicting field data: hold performance clearance; assess each type separately.</x:v>
      </x:c>
      <x:c r="R58" s="7" t="str">
        <x:v>Not queried by this cache; absence cannot be inferred.</x:v>
      </x:c>
      <x:c r="S58" s="15" t="n">
        <x:v>243.7</x:v>
      </x:c>
      <x:c r="T58" s="15" t="n">
        <x:v>194.9</x:v>
      </x:c>
      <x:c r="U58" s="2" t="n">
        <x:f>IF(S58="","",ROUNDUP(S58*1.10/'Aircraft and method'!C5*60+'Aircraft and method'!D5,0))</x:f>
        <x:v>187</x:v>
      </x:c>
      <x:c r="V58" s="2" t="n">
        <x:f>IF(S58="","",ROUNDUP(S58*1.10/'Aircraft and method'!C6*60+'Aircraft and method'!D6,0))</x:f>
        <x:v>114</x:v>
      </x:c>
      <x:c r="W58" s="2" t="n">
        <x:f>IF(S58="","",ROUNDUP(S58*1.10/'Aircraft and method'!C7*60+'Aircraft and method'!D7,0))</x:f>
        <x:v>102</x:v>
      </x:c>
      <x:c r="X58" s="2" t="n">
        <x:f>IF(S58="","",ROUNDUP(S58*1.10/'Aircraft and method'!C8*60+'Aircraft and method'!D8,0))</x:f>
        <x:v>114</x:v>
      </x:c>
      <x:c r="Y58" s="2" t="n">
        <x:f>IF(S58="","",ROUNDUP(S58*1.10/'Aircraft and method'!C9*60+'Aircraft and method'!D9,0))</x:f>
        <x:v>155</x:v>
      </x:c>
      <x:c r="Z58" s="2" t="n">
        <x:f>IF(S58="","",ROUNDUP(S58*1.10/'Aircraft and method'!C10*60+'Aircraft and method'!D10,0))</x:f>
        <x:v>208</x:v>
      </x:c>
      <x:c r="AA58" s="2" t="n">
        <x:f>IF(T58="","",ROUNDUP(T58*1.10/IF(T58&lt;60,170,'Aircraft and method'!C11)*60+IF(T58&lt;60,10,'Aircraft and method'!D11),0))</x:f>
        <x:v>74</x:v>
      </x:c>
      <x:c r="AB58" s="2" t="n">
        <x:f>IF(T58="","",ROUNDUP(T58*1.10/'Aircraft and method'!C12*60+'Aircraft and method'!D12,0))</x:f>
        <x:v>127</x:v>
      </x:c>
      <x:c r="AC58" s="7" t="str">
        <x:v>Ineligible: no evidenced purpose</x:v>
      </x:c>
      <x:c r="AD58" s="2"/>
      <x:c r="AE58" s="2"/>
      <x:c r="AF58" s="7" t="str">
        <x:v>Eligible purpose</x:v>
      </x:c>
      <x:c r="AG58" s="2" t="n">
        <x:f>IF(Scoring!J58="","",Scoring!J58)</x:f>
        <x:v>82</x:v>
      </x:c>
      <x:c r="AH58" s="2" t="n">
        <x:f>Scoring!P58</x:f>
        <x:v>23</x:v>
      </x:c>
      <x:c r="AI58" s="7" t="str">
        <x:v>Ineligible: no evidenced purpose</x:v>
      </x:c>
      <x:c r="AJ58" s="2"/>
      <x:c r="AK58" s="2"/>
      <x:c r="AL58" s="7" t="str">
        <x:v>Ineligible: no evidenced purpose</x:v>
      </x:c>
      <x:c r="AM58" s="2"/>
      <x:c r="AN58" s="2"/>
      <x:c r="AO58" s="7" t="str"/>
      <x:c r="AP58" s="2"/>
      <x:c r="AQ58" s="7" t="str">
        <x:v>https://www.namibweb.com/etendeka.htm</x:v>
      </x:c>
      <x:c r="AR58" s="7" t="str">
        <x:v>https://ourairports.com/airports/FYEA/</x:v>
      </x:c>
      <x:c r="AS58" s="7" t="str">
        <x:v>OurAirports snapshot 2026-10-29</x:v>
      </x:c>
      <x:c r="AT58" s="7" t="str">
        <x:v>Secondary operator-hosted description: 1000 m gravel, 3000 ft; current usable length/width/orientation need operator confirmation.</x:v>
      </x:c>
      <x:c r="AU58" s="7" t="str">
        <x:v>https://www.openstreetmap.org/?mlat=-19.803039&amp;mlon=13.928163#map=13/-19.803039/13.928163</x:v>
      </x:c>
      <x:c r="AV58" s="7" t="str">
        <x:v>Basalt mountains and rugged Damaraland</x:v>
      </x:c>
      <x:c r="AW58" s="7" t="str">
        <x:v>Published identifier; reconcile with simulator</x:v>
      </x:c>
      <x:c r="AX58" s="2" t="str">
        <x:v>2026-10-29</x:v>
      </x:c>
    </x:row>
    <x:row r="59" ht="54" customHeight="1">
      <x:c r="A59" s="2" t="str">
        <x:v>FYHH</x:v>
      </x:c>
      <x:c r="B59" s="7" t="str">
        <x:v>Helmeringhausen Airport</x:v>
      </x:c>
      <x:c r="C59" s="7" t="str">
        <x:v>Safari</x:v>
      </x:c>
      <x:c r="D59" s="2" t="str">
        <x:v>NA-KA</x:v>
      </x:c>
      <x:c r="E59" s="7" t="str">
        <x:v>Confirmed real-world destination; MSFS status unverified</x:v>
      </x:c>
      <x:c r="F59" s="7" t="str">
        <x:v>Safari: Priority validation</x:v>
      </x:c>
      <x:c r="G59" s="16" t="n">
        <x:v>-25.863598</x:v>
      </x:c>
      <x:c r="H59" s="16" t="n">
        <x:v>16.816362</x:v>
      </x:c>
      <x:c r="I59" s="15" t="n">
        <x:v>4603</x:v>
      </x:c>
      <x:c r="J59" s="15"/>
      <x:c r="K59" s="15"/>
      <x:c r="L59" s="2" t="str">
        <x:v>Unknown</x:v>
      </x:c>
      <x:c r="M59" s="2" t="str">
        <x:v>Unknown</x:v>
      </x:c>
      <x:c r="N59" s="7" t="str">
        <x:v>900 m gravel; width/orientation unverified</x:v>
      </x:c>
      <x:c r="O59" s="7" t="str">
        <x:v>Helmeringhausen Hotel private field</x:v>
      </x:c>
      <x:c r="P59" s="7" t="str">
        <x:v>Safari: Helmeringhausen Hotel private field — Lodge/park staff, supplies and conservation equipment now; guest transport only through separately approved passenger capability.</x:v>
      </x:c>
      <x:c r="Q59" s="7" t="str">
        <x:v>No aircraft approved by this research. Unknown/conflicting field data: hold performance clearance; assess each type separately.</x:v>
      </x:c>
      <x:c r="R59" s="7" t="str">
        <x:v>Not queried by this cache; absence cannot be inferred.</x:v>
      </x:c>
      <x:c r="S59" s="15" t="n">
        <x:v>196.2</x:v>
      </x:c>
      <x:c r="T59" s="15" t="n">
        <x:v>209.9</x:v>
      </x:c>
      <x:c r="U59" s="2" t="n">
        <x:f>IF(S59="","",ROUNDUP(S59*1.10/'Aircraft and method'!C5*60+'Aircraft and method'!D5,0))</x:f>
        <x:v>152</x:v>
      </x:c>
      <x:c r="V59" s="2" t="n">
        <x:f>IF(S59="","",ROUNDUP(S59*1.10/'Aircraft and method'!C6*60+'Aircraft and method'!D6,0))</x:f>
        <x:v>94</x:v>
      </x:c>
      <x:c r="W59" s="2" t="n">
        <x:f>IF(S59="","",ROUNDUP(S59*1.10/'Aircraft and method'!C7*60+'Aircraft and method'!D7,0))</x:f>
        <x:v>84</x:v>
      </x:c>
      <x:c r="X59" s="2" t="n">
        <x:f>IF(S59="","",ROUNDUP(S59*1.10/'Aircraft and method'!C8*60+'Aircraft and method'!D8,0))</x:f>
        <x:v>94</x:v>
      </x:c>
      <x:c r="Y59" s="2" t="n">
        <x:f>IF(S59="","",ROUNDUP(S59*1.10/'Aircraft and method'!C9*60+'Aircraft and method'!D9,0))</x:f>
        <x:v>126</x:v>
      </x:c>
      <x:c r="Z59" s="2" t="n">
        <x:f>IF(S59="","",ROUNDUP(S59*1.10/'Aircraft and method'!C10*60+'Aircraft and method'!D10,0))</x:f>
        <x:v>168</x:v>
      </x:c>
      <x:c r="AA59" s="2" t="n">
        <x:f>IF(T59="","",ROUNDUP(T59*1.10/IF(T59&lt;60,170,'Aircraft and method'!C11)*60+IF(T59&lt;60,10,'Aircraft and method'!D11),0))</x:f>
        <x:v>78</x:v>
      </x:c>
      <x:c r="AB59" s="2" t="n">
        <x:f>IF(T59="","",ROUNDUP(T59*1.10/'Aircraft and method'!C12*60+'Aircraft and method'!D12,0))</x:f>
        <x:v>136</x:v>
      </x:c>
      <x:c r="AC59" s="7" t="str">
        <x:v>Ineligible: no evidenced purpose</x:v>
      </x:c>
      <x:c r="AD59" s="2"/>
      <x:c r="AE59" s="2"/>
      <x:c r="AF59" s="7" t="str">
        <x:v>Eligible purpose</x:v>
      </x:c>
      <x:c r="AG59" s="2" t="n">
        <x:f>IF(Scoring!J59="","",Scoring!J59)</x:f>
        <x:v>69</x:v>
      </x:c>
      <x:c r="AH59" s="2" t="n">
        <x:f>Scoring!P59</x:f>
        <x:v>19</x:v>
      </x:c>
      <x:c r="AI59" s="7" t="str">
        <x:v>Ineligible: no evidenced purpose</x:v>
      </x:c>
      <x:c r="AJ59" s="2"/>
      <x:c r="AK59" s="2"/>
      <x:c r="AL59" s="7" t="str">
        <x:v>Ineligible: no evidenced purpose</x:v>
      </x:c>
      <x:c r="AM59" s="2"/>
      <x:c r="AN59" s="2"/>
      <x:c r="AO59" s="7" t="str"/>
      <x:c r="AP59" s="2"/>
      <x:c r="AQ59" s="7" t="str">
        <x:v>https://helmeringhausennamibia.com/airfield</x:v>
      </x:c>
      <x:c r="AR59" s="7" t="str">
        <x:v>https://ourairports.com/airports/FYHH/</x:v>
      </x:c>
      <x:c r="AS59" s="7" t="str">
        <x:v>OurAirports snapshot 2026-10-29</x:v>
      </x:c>
      <x:c r="AT59" s="7" t="str">
        <x:v>Operator 900 m gravel; unregistered/unlicensed/unmanned and prior approval for guests. Hospitality/diversity reserve, not core wildlife lodge.</x:v>
      </x:c>
      <x:c r="AU59" s="7" t="str">
        <x:v>https://www.openstreetmap.org/?mlat=-25.863598&amp;mlon=16.816362#map=13/-25.863598/16.816362</x:v>
      </x:c>
      <x:c r="AV59" s="7" t="str">
        <x:v>Southern desert farmland and distant Tiras hills</x:v>
      </x:c>
      <x:c r="AW59" s="7" t="str">
        <x:v>Published identifier; reconcile with simulator</x:v>
      </x:c>
      <x:c r="AX59" s="2" t="str">
        <x:v>2026-10-29</x:v>
      </x:c>
    </x:row>
    <x:row r="60" ht="54" customHeight="1">
      <x:c r="A60" s="2" t="str">
        <x:v>FYSO</x:v>
      </x:c>
      <x:c r="B60" s="7" t="str">
        <x:v>Solitaire Airport</x:v>
      </x:c>
      <x:c r="C60" s="7" t="str">
        <x:v>Safari</x:v>
      </x:c>
      <x:c r="D60" s="2" t="str">
        <x:v>NA-KH</x:v>
      </x:c>
      <x:c r="E60" s="7" t="str">
        <x:v>Confirmed real-world destination; MSFS status unverified</x:v>
      </x:c>
      <x:c r="F60" s="7" t="str">
        <x:v>Safari: Priority validation</x:v>
      </x:c>
      <x:c r="G60" s="16" t="n">
        <x:v>-23.900800704956055</x:v>
      </x:c>
      <x:c r="H60" s="16" t="n">
        <x:v>16.00469970703125</x:v>
      </x:c>
      <x:c r="I60" s="15" t="n">
        <x:v>3488</x:v>
      </x:c>
      <x:c r="J60" s="15" t="n">
        <x:v>1399.9</x:v>
      </x:c>
      <x:c r="K60" s="15" t="n">
        <x:v>17.1</x:v>
      </x:c>
      <x:c r="L60" s="2" t="str">
        <x:v>Gravel</x:v>
      </x:c>
      <x:c r="M60" s="2" t="str">
        <x:v>02/20</x:v>
      </x:c>
      <x:c r="N60" s="7" t="str">
        <x:v>1400 x 17 m; Gravel; 02/20</x:v>
      </x:c>
      <x:c r="O60" s="7" t="str">
        <x:v>Solitaire Roadhouse / Mountain Lodge / Desert Camp</x:v>
      </x:c>
      <x:c r="P60" s="7" t="str">
        <x:v>Safari: Solitaire Roadhouse / Mountain Lodge / Desert Camp — Lodge/park staff, supplies and conservation equipment now; guest transport only through separately approved passenger capability.</x:v>
      </x:c>
      <x:c r="Q60" s="7" t="str">
        <x:v>No aircraft approved by this research. Unknown/conflicting field data: hold performance clearance; assess each type separately.</x:v>
      </x:c>
      <x:c r="R60" s="7" t="str">
        <x:v>Not queried by this cache; absence cannot be inferred.</x:v>
      </x:c>
      <x:c r="S60" s="15" t="n">
        <x:v>97.8</x:v>
      </x:c>
      <x:c r="T60" s="15" t="n">
        <x:v>93.1</x:v>
      </x:c>
      <x:c r="U60" s="2" t="n">
        <x:f>IF(S60="","",ROUNDUP(S60*1.10/'Aircraft and method'!C5*60+'Aircraft and method'!D5,0))</x:f>
        <x:v>80</x:v>
      </x:c>
      <x:c r="V60" s="2" t="n">
        <x:f>IF(S60="","",ROUNDUP(S60*1.10/'Aircraft and method'!C6*60+'Aircraft and method'!D6,0))</x:f>
        <x:v>52</x:v>
      </x:c>
      <x:c r="W60" s="2" t="n">
        <x:f>IF(S60="","",ROUNDUP(S60*1.10/'Aircraft and method'!C7*60+'Aircraft and method'!D7,0))</x:f>
        <x:v>47</x:v>
      </x:c>
      <x:c r="X60" s="2" t="n">
        <x:f>IF(S60="","",ROUNDUP(S60*1.10/'Aircraft and method'!C8*60+'Aircraft and method'!D8,0))</x:f>
        <x:v>52</x:v>
      </x:c>
      <x:c r="Y60" s="2" t="n">
        <x:f>IF(S60="","",ROUNDUP(S60*1.10/'Aircraft and method'!C9*60+'Aircraft and method'!D9,0))</x:f>
        <x:v>67</x:v>
      </x:c>
      <x:c r="Z60" s="2" t="n">
        <x:f>IF(S60="","",ROUNDUP(S60*1.10/'Aircraft and method'!C10*60+'Aircraft and method'!D10,0))</x:f>
        <x:v>87</x:v>
      </x:c>
      <x:c r="AA60" s="2" t="n">
        <x:f>IF(T60="","",ROUNDUP(T60*1.10/IF(T60&lt;60,170,'Aircraft and method'!C11)*60+IF(T60&lt;60,10,'Aircraft and method'!D11),0))</x:f>
        <x:v>43</x:v>
      </x:c>
      <x:c r="AB60" s="2" t="n">
        <x:f>IF(T60="","",ROUNDUP(T60*1.10/'Aircraft and method'!C12*60+'Aircraft and method'!D12,0))</x:f>
        <x:v>66</x:v>
      </x:c>
      <x:c r="AC60" s="7" t="str">
        <x:v>Ineligible: no evidenced purpose</x:v>
      </x:c>
      <x:c r="AD60" s="2"/>
      <x:c r="AE60" s="2"/>
      <x:c r="AF60" s="7" t="str">
        <x:v>Eligible purpose</x:v>
      </x:c>
      <x:c r="AG60" s="2" t="n">
        <x:f>IF(Scoring!J60="","",Scoring!J60)</x:f>
        <x:v>94</x:v>
      </x:c>
      <x:c r="AH60" s="2" t="n">
        <x:f>Scoring!P60</x:f>
        <x:v>20</x:v>
      </x:c>
      <x:c r="AI60" s="7" t="str">
        <x:v>Ineligible: no evidenced purpose</x:v>
      </x:c>
      <x:c r="AJ60" s="2"/>
      <x:c r="AK60" s="2"/>
      <x:c r="AL60" s="7" t="str">
        <x:v>Ineligible: no evidenced purpose</x:v>
      </x:c>
      <x:c r="AM60" s="2"/>
      <x:c r="AN60" s="2"/>
      <x:c r="AO60" s="7" t="str"/>
      <x:c r="AP60" s="2"/>
      <x:c r="AQ60" s="7" t="str">
        <x:v>https://www.solitairenamibia.com/</x:v>
      </x:c>
      <x:c r="AR60" s="7" t="str">
        <x:v>https://ourairports.com/airports/FYSO/</x:v>
      </x:c>
      <x:c r="AS60" s="7" t="str">
        <x:v>OurAirports snapshot 2026-10-29</x:v>
      </x:c>
      <x:c r="AT60" s="7" t="str">
        <x:v>Operator confirms fly-in tourism, lodge shuttle and airfield. Useful closer desert-network stop; aviation fuel only by prior arrangement, not guaranteed.</x:v>
      </x:c>
      <x:c r="AU60" s="7" t="str">
        <x:v>https://www.openstreetmap.org/?mlat=-23.900801&amp;mlon=16.004700#map=13/-23.900801/16.004700</x:v>
      </x:c>
      <x:c r="AV60" s="7" t="str">
        <x:v>Escarpment, gravel plains and desert-tourism crossroads</x:v>
      </x:c>
      <x:c r="AW60" s="7" t="str">
        <x:v>Published identifier; reconcile with simulator</x:v>
      </x:c>
      <x:c r="AX60" s="2" t="str">
        <x:v>2026-10-29</x:v>
      </x:c>
    </x:row>
    <x:row r="61" ht="54" customHeight="1">
      <x:c r="A61" s="2" t="str">
        <x:v>candidate-westies</x:v>
      </x:c>
      <x:c r="B61" s="7" t="str">
        <x:v>Shipwreck Lodge via Westies airstrip</x:v>
      </x:c>
      <x:c r="C61" s="7" t="str">
        <x:v>Safari</x:v>
      </x:c>
      <x:c r="D61" s="2" t="str">
        <x:v>Namibia offshore / unresolved</x:v>
      </x:c>
      <x:c r="E61" s="7" t="str">
        <x:v>Partially verified</x:v>
      </x:c>
      <x:c r="F61" s="7" t="str">
        <x:v>Safari: Research hold</x:v>
      </x:c>
      <x:c r="G61" s="16"/>
      <x:c r="H61" s="16"/>
      <x:c r="I61" s="15"/>
      <x:c r="J61" s="15"/>
      <x:c r="K61" s="15"/>
      <x:c r="L61" s="2" t="str">
        <x:v>Unknown</x:v>
      </x:c>
      <x:c r="M61" s="2" t="str">
        <x:v>Unknown</x:v>
      </x:c>
      <x:c r="N61" s="7" t="str">
        <x:v>Runway dimensions, width, surface and orientation not established in this pass</x:v>
      </x:c>
      <x:c r="O61" s="7" t="str">
        <x:v>Shipwreck Lodge via Westies airstrip</x:v>
      </x:c>
      <x:c r="P61" s="7" t="str">
        <x:v>Safari: Shipwreck Lodge via Westies airstrip — Lodge/park staff, supplies and conservation equipment now; guest transport only through separately approved passenger capability.</x:v>
      </x:c>
      <x:c r="Q61" s="7" t="str">
        <x:v>No aircraft approved by this research. Unknown/conflicting field data: hold performance clearance; assess each type separately.</x:v>
      </x:c>
      <x:c r="R61" s="7" t="str">
        <x:v>Not queried by this cache; absence cannot be inferred.</x:v>
      </x:c>
      <x:c r="S61" s="15"/>
      <x:c r="T61" s="15"/>
      <x:c r="U61" s="2" t="str">
        <x:f>IF(S61="","",ROUNDUP(S61*1.10/'Aircraft and method'!C5*60+'Aircraft and method'!D5,0))</x:f>
      </x:c>
      <x:c r="V61" s="2" t="str">
        <x:f>IF(S61="","",ROUNDUP(S61*1.10/'Aircraft and method'!C6*60+'Aircraft and method'!D6,0))</x:f>
      </x:c>
      <x:c r="W61" s="2" t="str">
        <x:f>IF(S61="","",ROUNDUP(S61*1.10/'Aircraft and method'!C7*60+'Aircraft and method'!D7,0))</x:f>
      </x:c>
      <x:c r="X61" s="2" t="str">
        <x:f>IF(S61="","",ROUNDUP(S61*1.10/'Aircraft and method'!C8*60+'Aircraft and method'!D8,0))</x:f>
      </x:c>
      <x:c r="Y61" s="2" t="str">
        <x:f>IF(S61="","",ROUNDUP(S61*1.10/'Aircraft and method'!C9*60+'Aircraft and method'!D9,0))</x:f>
      </x:c>
      <x:c r="Z61" s="2" t="str">
        <x:f>IF(S61="","",ROUNDUP(S61*1.10/'Aircraft and method'!C10*60+'Aircraft and method'!D10,0))</x:f>
      </x:c>
      <x:c r="AA61" s="2" t="str">
        <x:f>IF(T61="","",ROUNDUP(T61*1.10/IF(T61&lt;60,170,'Aircraft and method'!C11)*60+IF(T61&lt;60,10,'Aircraft and method'!D11),0))</x:f>
      </x:c>
      <x:c r="AB61" s="2" t="str">
        <x:f>IF(T61="","",ROUNDUP(T61*1.10/'Aircraft and method'!C12*60+'Aircraft and method'!D12,0))</x:f>
      </x:c>
      <x:c r="AC61" s="7" t="str">
        <x:v>Ineligible: no evidenced purpose</x:v>
      </x:c>
      <x:c r="AD61" s="2"/>
      <x:c r="AE61" s="2"/>
      <x:c r="AF61" s="7" t="str">
        <x:v>Eligible purpose</x:v>
      </x:c>
      <x:c r="AG61" s="2" t="n">
        <x:f>IF(Scoring!J61="","",Scoring!J61)</x:f>
        <x:v>63</x:v>
      </x:c>
      <x:c r="AH61" s="2" t="n">
        <x:f>Scoring!P61</x:f>
        <x:v>22</x:v>
      </x:c>
      <x:c r="AI61" s="7" t="str">
        <x:v>Ineligible: no evidenced purpose</x:v>
      </x:c>
      <x:c r="AJ61" s="2"/>
      <x:c r="AK61" s="2"/>
      <x:c r="AL61" s="7" t="str">
        <x:v>Ineligible: no evidenced purpose</x:v>
      </x:c>
      <x:c r="AM61" s="2"/>
      <x:c r="AN61" s="2"/>
      <x:c r="AO61" s="7" t="str"/>
      <x:c r="AP61" s="2"/>
      <x:c r="AQ61" s="7" t="str">
        <x:v>https://www.tourismupdate.com/article/natural-selection-namibia-to-launch-scheduled-flying-circuit</x:v>
      </x:c>
      <x:c r="AR61" s="7" t="str"/>
      <x:c r="AS61" s="7" t="str">
        <x:v>Unknown; omitted from map</x:v>
      </x:c>
      <x:c r="AT61" s="7" t="str">
        <x:v>2025 announcement of 2026 circuit is not evidence opening occurred. Confirm operator, position and simulator availability; do not relabel Möwe Bay.</x:v>
      </x:c>
      <x:c r="AU61" s="7" t="str"/>
      <x:c r="AV61" s="7" t="str">
        <x:v>Atlantic dunes and remote Skeleton Coast</x:v>
      </x:c>
      <x:c r="AW61" s="7" t="str">
        <x:v>Research label only; no invented ICAO</x:v>
      </x:c>
      <x:c r="AX61" s="2" t="str">
        <x:v>2026-10-29</x:v>
      </x:c>
    </x:row>
    <x:row r="62" ht="54" customHeight="1">
      <x:c r="A62" s="2" t="str">
        <x:v>FYWE</x:v>
      </x:c>
      <x:c r="B62" s="7" t="str">
        <x:v>Eros Airport</x:v>
      </x:c>
      <x:c r="C62" s="7" t="str">
        <x:v>Offshore</x:v>
      </x:c>
      <x:c r="D62" s="2" t="str">
        <x:v>NA-KH</x:v>
      </x:c>
      <x:c r="E62" s="7" t="str">
        <x:v>Confirmed in MSFS 2024</x:v>
      </x:c>
      <x:c r="F62" s="7" t="str">
        <x:v>Offshore: Priority validation</x:v>
      </x:c>
      <x:c r="G62" s="16" t="n">
        <x:v>-22.60492</x:v>
      </x:c>
      <x:c r="H62" s="16" t="n">
        <x:v>17.079002</x:v>
      </x:c>
      <x:c r="I62" s="15" t="n">
        <x:v>5575</x:v>
      </x:c>
      <x:c r="J62" s="15" t="n">
        <x:v>2249.7</x:v>
      </x:c>
      <x:c r="K62" s="15" t="n">
        <x:v>29.9</x:v>
      </x:c>
      <x:c r="L62" s="2" t="str">
        <x:v>ASP</x:v>
      </x:c>
      <x:c r="M62" s="2" t="str">
        <x:v>01/19</x:v>
      </x:c>
      <x:c r="N62" s="7" t="str">
        <x:v>2250 x 30 m; ASP; 01/19</x:v>
      </x:c>
      <x:c r="O62" s="7" t="str">
        <x:v>Windhoek corporate offices / NAMCOR</x:v>
      </x:c>
      <x:c r="P62" s="7" t="str">
        <x:v>Offshore: Windhoek corporate offices / NAMCOR — Marine-industry specialist/equipment or executive airport transfer; proposed adaptation of existing airport mission types.</x:v>
      </x:c>
      <x:c r="Q62" s="7" t="str">
        <x:v>No aircraft approved by this research. Known paved runway: candidate for fleet-specific AFM/weight/density-altitude assessment.</x:v>
      </x:c>
      <x:c r="R62" s="7" t="str">
        <x:v>Identifier returned in 2026-10-27 cache; offset 0.2 NM from real-world point. Database presence only; scenery/runway uninspected.</x:v>
      </x:c>
      <x:c r="S62" s="15" t="n">
        <x:v>0</x:v>
      </x:c>
      <x:c r="T62" s="15" t="n">
        <x:v>136.6</x:v>
      </x:c>
      <x:c r="U62" s="2" t="str">
        <x:f>IF(S62="","",ROUNDUP(S62*1.10/'Aircraft and method'!C5*60+'Aircraft and method'!D5,0))</x:f>
      </x:c>
      <x:c r="V62" s="2" t="str">
        <x:f>IF(S62="","",ROUNDUP(S62*1.10/'Aircraft and method'!C6*60+'Aircraft and method'!D6,0))</x:f>
      </x:c>
      <x:c r="W62" s="2" t="str">
        <x:f>IF(S62="","",ROUNDUP(S62*1.10/'Aircraft and method'!C7*60+'Aircraft and method'!D7,0))</x:f>
      </x:c>
      <x:c r="X62" s="2" t="str">
        <x:f>IF(S62="","",ROUNDUP(S62*1.10/'Aircraft and method'!C8*60+'Aircraft and method'!D8,0))</x:f>
      </x:c>
      <x:c r="Y62" s="2" t="str">
        <x:f>IF(S62="","",ROUNDUP(S62*1.10/'Aircraft and method'!C9*60+'Aircraft and method'!D9,0))</x:f>
      </x:c>
      <x:c r="Z62" s="2" t="str">
        <x:f>IF(S62="","",ROUNDUP(S62*1.10/'Aircraft and method'!C10*60+'Aircraft and method'!D10,0))</x:f>
      </x:c>
      <x:c r="AA62" s="2" t="n">
        <x:f>IF(T62="","",ROUNDUP(T62*1.10/IF(T62&lt;60,170,'Aircraft and method'!C11)*60+IF(T62&lt;60,10,'Aircraft and method'!D11),0))</x:f>
        <x:v>56</x:v>
      </x:c>
      <x:c r="AB62" s="2" t="n">
        <x:f>IF(T62="","",ROUNDUP(T62*1.10/'Aircraft and method'!C12*60+'Aircraft and method'!D12,0))</x:f>
        <x:v>92</x:v>
      </x:c>
      <x:c r="AC62" s="7" t="str">
        <x:v>Ineligible: no evidenced purpose</x:v>
      </x:c>
      <x:c r="AD62" s="2"/>
      <x:c r="AE62" s="2"/>
      <x:c r="AF62" s="7" t="str">
        <x:v>Ineligible: no evidenced purpose</x:v>
      </x:c>
      <x:c r="AG62" s="2"/>
      <x:c r="AH62" s="2"/>
      <x:c r="AI62" s="7" t="str">
        <x:v>Ineligible: no evidenced purpose</x:v>
      </x:c>
      <x:c r="AJ62" s="2"/>
      <x:c r="AK62" s="2"/>
      <x:c r="AL62" s="7" t="str">
        <x:v>Eligible purpose</x:v>
      </x:c>
      <x:c r="AM62" s="2" t="n">
        <x:f>IF(Scoring!J64="","",Scoring!J64)</x:f>
        <x:v>96</x:v>
      </x:c>
      <x:c r="AN62" s="2" t="n">
        <x:f>Scoring!P64</x:f>
        <x:v>15</x:v>
      </x:c>
      <x:c r="AO62" s="7" t="str">
        <x:v>Offshore</x:v>
      </x:c>
      <x:c r="AP62" s="2" t="n">
        <x:v>0.16</x:v>
      </x:c>
      <x:c r="AQ62" s="7" t="str">
        <x:v>https://www.namcor.com.na/contact-2/</x:v>
      </x:c>
      <x:c r="AR62" s="7" t="str">
        <x:v>https://ourairports.com/airports/FYWE/</x:v>
      </x:c>
      <x:c r="AS62" s="7" t="str">
        <x:v>OurAirports snapshot 2026-10-29</x:v>
      </x:c>
      <x:c r="AT62" s="7" t="str">
        <x:v>Existing Offshore destination; airport supports corporate/specialist liaison by inference from real city office, not a claimed charter contract.</x:v>
      </x:c>
      <x:c r="AU62" s="7" t="str">
        <x:v>https://www.openstreetmap.org/?mlat=-22.604920&amp;mlon=17.079002#map=13/-22.604920/17.079002</x:v>
      </x:c>
      <x:c r="AV62" s="7" t="str">
        <x:v>Khomas highlands and urban basin</x:v>
      </x:c>
      <x:c r="AW62" s="7" t="str">
        <x:v>Published identifier; reconcile with simulator</x:v>
      </x:c>
      <x:c r="AX62" s="2" t="str">
        <x:v>2026-10-29</x:v>
      </x:c>
    </x:row>
    <x:row r="63" ht="54" customHeight="1">
      <x:c r="A63" s="2" t="str">
        <x:v>FYWH</x:v>
      </x:c>
      <x:c r="B63" s="7" t="str">
        <x:v>Hosea Kutako International Airport</x:v>
      </x:c>
      <x:c r="C63" s="7" t="str">
        <x:v>Offshore</x:v>
      </x:c>
      <x:c r="D63" s="2" t="str">
        <x:v>NA-KH</x:v>
      </x:c>
      <x:c r="E63" s="7" t="str">
        <x:v>Confirmed in MSFS 2024</x:v>
      </x:c>
      <x:c r="F63" s="7" t="str">
        <x:v>Offshore: Priority validation</x:v>
      </x:c>
      <x:c r="G63" s="16" t="n">
        <x:v>-22.4799</x:v>
      </x:c>
      <x:c r="H63" s="16" t="n">
        <x:v>17.4709</x:v>
      </x:c>
      <x:c r="I63" s="15" t="n">
        <x:v>5640</x:v>
      </x:c>
      <x:c r="J63" s="15" t="n">
        <x:v>4575</x:v>
      </x:c>
      <x:c r="K63" s="15" t="n">
        <x:v>45.1</x:v>
      </x:c>
      <x:c r="L63" s="2" t="str">
        <x:v>ASP</x:v>
      </x:c>
      <x:c r="M63" s="2" t="str">
        <x:v>08/26</x:v>
      </x:c>
      <x:c r="N63" s="7" t="str">
        <x:v>4575 x 45 m; ASP; 08/26</x:v>
      </x:c>
      <x:c r="O63" s="7" t="str">
        <x:v>Windhoek international business gateway</x:v>
      </x:c>
      <x:c r="P63" s="7" t="str">
        <x:v>Offshore: Windhoek international business gateway — Marine-industry specialist/equipment or executive airport transfer; proposed adaptation of existing airport mission types.</x:v>
      </x:c>
      <x:c r="Q63" s="7" t="str">
        <x:v>No aircraft approved by this research. Known paved runway: candidate for fleet-specific AFM/weight/density-altitude assessment.</x:v>
      </x:c>
      <x:c r="R63" s="7" t="str">
        <x:v>Identifier returned in 2026-10-27 cache; offset 0.0 NM from real-world point. Database presence only; scenery/runway uninspected.</x:v>
      </x:c>
      <x:c r="S63" s="15" t="n">
        <x:v>23</x:v>
      </x:c>
      <x:c r="T63" s="15" t="n">
        <x:v>159.3</x:v>
      </x:c>
      <x:c r="U63" s="2" t="n">
        <x:f>IF(S63="","",ROUNDUP(S63*1.10/'Aircraft and method'!C5*60+'Aircraft and method'!D5,0))</x:f>
        <x:v>25</x:v>
      </x:c>
      <x:c r="V63" s="2" t="n">
        <x:f>IF(S63="","",ROUNDUP(S63*1.10/'Aircraft and method'!C6*60+'Aircraft and method'!D6,0))</x:f>
        <x:v>20</x:v>
      </x:c>
      <x:c r="W63" s="2" t="n">
        <x:f>IF(S63="","",ROUNDUP(S63*1.10/'Aircraft and method'!C7*60+'Aircraft and method'!D7,0))</x:f>
        <x:v>19</x:v>
      </x:c>
      <x:c r="X63" s="2" t="n">
        <x:f>IF(S63="","",ROUNDUP(S63*1.10/'Aircraft and method'!C8*60+'Aircraft and method'!D8,0))</x:f>
        <x:v>20</x:v>
      </x:c>
      <x:c r="Y63" s="2" t="n">
        <x:f>IF(S63="","",ROUNDUP(S63*1.10/'Aircraft and method'!C9*60+'Aircraft and method'!D9,0))</x:f>
        <x:v>22</x:v>
      </x:c>
      <x:c r="Z63" s="2" t="n">
        <x:f>IF(S63="","",ROUNDUP(S63*1.10/'Aircraft and method'!C10*60+'Aircraft and method'!D10,0))</x:f>
        <x:v>25</x:v>
      </x:c>
      <x:c r="AA63" s="2" t="n">
        <x:f>IF(T63="","",ROUNDUP(T63*1.10/IF(T63&lt;60,170,'Aircraft and method'!C11)*60+IF(T63&lt;60,10,'Aircraft and method'!D11),0))</x:f>
        <x:v>63</x:v>
      </x:c>
      <x:c r="AB63" s="2" t="n">
        <x:f>IF(T63="","",ROUNDUP(T63*1.10/'Aircraft and method'!C12*60+'Aircraft and method'!D12,0))</x:f>
        <x:v>106</x:v>
      </x:c>
      <x:c r="AC63" s="7" t="str">
        <x:v>Ineligible: no evidenced purpose</x:v>
      </x:c>
      <x:c r="AD63" s="2"/>
      <x:c r="AE63" s="2"/>
      <x:c r="AF63" s="7" t="str">
        <x:v>Ineligible: no evidenced purpose</x:v>
      </x:c>
      <x:c r="AG63" s="2"/>
      <x:c r="AH63" s="2"/>
      <x:c r="AI63" s="7" t="str">
        <x:v>Ineligible: no evidenced purpose</x:v>
      </x:c>
      <x:c r="AJ63" s="2"/>
      <x:c r="AK63" s="2"/>
      <x:c r="AL63" s="7" t="str">
        <x:v>Eligible purpose</x:v>
      </x:c>
      <x:c r="AM63" s="2" t="n">
        <x:f>IF(Scoring!J65="","",Scoring!J65)</x:f>
        <x:v>100</x:v>
      </x:c>
      <x:c r="AN63" s="2" t="n">
        <x:f>Scoring!P65</x:f>
        <x:v>13</x:v>
      </x:c>
      <x:c r="AO63" s="7" t="str">
        <x:v>Offshore</x:v>
      </x:c>
      <x:c r="AP63" s="2" t="n">
        <x:v>0.01</x:v>
      </x:c>
      <x:c r="AQ63" s="7" t="str">
        <x:v>https://www.namcor.com.na/contact-2/</x:v>
      </x:c>
      <x:c r="AR63" s="7" t="str">
        <x:v>https://ourairports.com/airports/FYWH/</x:v>
      </x:c>
      <x:c r="AS63" s="7" t="str">
        <x:v>OurAirports snapshot 2026-10-29</x:v>
      </x:c>
      <x:c r="AT63" s="7" t="str">
        <x:v>Executive/international connections and petroleum specialists plausible; separate from Eros local-office role.</x:v>
      </x:c>
      <x:c r="AU63" s="7" t="str">
        <x:v>https://www.openstreetmap.org/?mlat=-22.479900&amp;mlon=17.470900#map=13/-22.479900/17.470900</x:v>
      </x:c>
      <x:c r="AV63" s="7" t="str">
        <x:v>High plateau east of Windhoek</x:v>
      </x:c>
      <x:c r="AW63" s="7" t="str">
        <x:v>Published identifier; reconcile with simulator</x:v>
      </x:c>
      <x:c r="AX63" s="2" t="str">
        <x:v>2026-10-29</x:v>
      </x:c>
    </x:row>
    <x:row r="64" ht="54" customHeight="1">
      <x:c r="A64" s="2" t="str">
        <x:v>FYKT</x:v>
      </x:c>
      <x:c r="B64" s="7" t="str">
        <x:v>Keetmanshoop Airport</x:v>
      </x:c>
      <x:c r="C64" s="7" t="str"/>
      <x:c r="D64" s="2" t="str">
        <x:v>NA-KA</x:v>
      </x:c>
      <x:c r="E64" s="7" t="str">
        <x:v>Confirmed in MSFS 2024</x:v>
      </x:c>
      <x:c r="F64" s="7" t="str">
        <x:v>Offshore: Research hold</x:v>
      </x:c>
      <x:c r="G64" s="16" t="n">
        <x:v>-26.539801</x:v>
      </x:c>
      <x:c r="H64" s="16" t="n">
        <x:v>18.111401</x:v>
      </x:c>
      <x:c r="I64" s="15" t="n">
        <x:v>3506</x:v>
      </x:c>
      <x:c r="J64" s="15" t="n">
        <x:v>2315.9</x:v>
      </x:c>
      <x:c r="K64" s="15" t="n">
        <x:v>45.1</x:v>
      </x:c>
      <x:c r="L64" s="2" t="str">
        <x:v>ASP</x:v>
      </x:c>
      <x:c r="M64" s="2" t="str">
        <x:v>04/22</x:v>
      </x:c>
      <x:c r="N64" s="7" t="str">
        <x:v>2316 x 45 m; ASP; 04/22</x:v>
      </x:c>
      <x:c r="O64" s="7" t="str">
        <x:v>Keetmanshoop regional airport</x:v>
      </x:c>
      <x:c r="P64" s="7" t="str">
        <x:v>Offshore: Keetmanshoop regional airport — No evidenced Offshore-specific service requirement in this pass. Industrial membership at Arandis remains valid.</x:v>
      </x:c>
      <x:c r="Q64" s="7" t="str">
        <x:v>No aircraft approved by this research. Known paved runway: candidate for fleet-specific AFM/weight/density-altitude assessment.</x:v>
      </x:c>
      <x:c r="R64" s="7" t="str">
        <x:v>Identifier returned in 2026-10-27 cache; offset 0.1 NM from real-world point. Database presence only; scenery/runway uninspected.</x:v>
      </x:c>
      <x:c r="S64" s="15" t="n">
        <x:v>242.9</x:v>
      </x:c>
      <x:c r="T64" s="15" t="n">
        <x:v>285.3</x:v>
      </x:c>
      <x:c r="U64" s="2" t="n">
        <x:f>IF(S64="","",ROUNDUP(S64*1.10/'Aircraft and method'!C5*60+'Aircraft and method'!D5,0))</x:f>
        <x:v>187</x:v>
      </x:c>
      <x:c r="V64" s="2" t="n">
        <x:f>IF(S64="","",ROUNDUP(S64*1.10/'Aircraft and method'!C6*60+'Aircraft and method'!D6,0))</x:f>
        <x:v>114</x:v>
      </x:c>
      <x:c r="W64" s="2" t="n">
        <x:f>IF(S64="","",ROUNDUP(S64*1.10/'Aircraft and method'!C7*60+'Aircraft and method'!D7,0))</x:f>
        <x:v>102</x:v>
      </x:c>
      <x:c r="X64" s="2" t="n">
        <x:f>IF(S64="","",ROUNDUP(S64*1.10/'Aircraft and method'!C8*60+'Aircraft and method'!D8,0))</x:f>
        <x:v>114</x:v>
      </x:c>
      <x:c r="Y64" s="2" t="n">
        <x:f>IF(S64="","",ROUNDUP(S64*1.10/'Aircraft and method'!C9*60+'Aircraft and method'!D9,0))</x:f>
        <x:v>154</x:v>
      </x:c>
      <x:c r="Z64" s="2" t="n">
        <x:f>IF(S64="","",ROUNDUP(S64*1.10/'Aircraft and method'!C10*60+'Aircraft and method'!D10,0))</x:f>
        <x:v>207</x:v>
      </x:c>
      <x:c r="AA64" s="2" t="n">
        <x:f>IF(T64="","",ROUNDUP(T64*1.10/IF(T64&lt;60,170,'Aircraft and method'!C11)*60+IF(T64&lt;60,10,'Aircraft and method'!D11),0))</x:f>
        <x:v>101</x:v>
      </x:c>
      <x:c r="AB64" s="2" t="n">
        <x:f>IF(T64="","",ROUNDUP(T64*1.10/'Aircraft and method'!C12*60+'Aircraft and method'!D12,0))</x:f>
        <x:v>182</x:v>
      </x:c>
      <x:c r="AC64" s="7" t="str">
        <x:v>Ineligible: no evidenced purpose</x:v>
      </x:c>
      <x:c r="AD64" s="2"/>
      <x:c r="AE64" s="2"/>
      <x:c r="AF64" s="7" t="str">
        <x:v>Ineligible: no evidenced purpose</x:v>
      </x:c>
      <x:c r="AG64" s="2"/>
      <x:c r="AH64" s="2"/>
      <x:c r="AI64" s="7" t="str">
        <x:v>Ineligible: no evidenced purpose</x:v>
      </x:c>
      <x:c r="AJ64" s="2"/>
      <x:c r="AK64" s="2"/>
      <x:c r="AL64" s="7" t="str">
        <x:v>Ineligible purpose</x:v>
      </x:c>
      <x:c r="AM64" s="2" t="str">
        <x:f>IF(Scoring!J69="","",Scoring!J69)</x:f>
      </x:c>
      <x:c r="AN64" s="2" t="n">
        <x:f>Scoring!P69</x:f>
        <x:v>14</x:v>
      </x:c>
      <x:c r="AO64" s="7" t="str">
        <x:v>Offshore</x:v>
      </x:c>
      <x:c r="AP64" s="2" t="n">
        <x:v>0.06</x:v>
      </x:c>
      <x:c r="AQ64" s="7" t="str">
        <x:v>https://www.namport.com.na/port-of-luderitz/welcome-to-the-port-of-luderitz/330/</x:v>
      </x:c>
      <x:c r="AR64" s="7" t="str">
        <x:v>https://ourairports.com/airports/FYKT/</x:v>
      </x:c>
      <x:c r="AS64" s="7" t="str">
        <x:v>OurAirports snapshot 2026-10-29</x:v>
      </x:c>
      <x:c r="AT64" s="7" t="str">
        <x:v>Existing Offshore member; no named petroleum/executive client or regular logistics chain established. Hold rather than invent demand.</x:v>
      </x:c>
      <x:c r="AU64" s="7" t="str">
        <x:v>https://www.openstreetmap.org/?mlat=-26.539801&amp;mlon=18.111401#map=13/-26.539801/18.111401</x:v>
      </x:c>
      <x:c r="AV64" s="7" t="str">
        <x:v>Southern plateau and desert</x:v>
      </x:c>
      <x:c r="AW64" s="7" t="str">
        <x:v>Published identifier; reconcile with simulator</x:v>
      </x:c>
      <x:c r="AX64" s="2" t="str">
        <x:v>2026-10-29</x:v>
      </x:c>
    </x:row>
    <x:row r="65" ht="54" customHeight="1">
      <x:c r="A65" s="2" t="str">
        <x:v>FACT</x:v>
      </x:c>
      <x:c r="B65" s="7" t="str">
        <x:v>Cape Town International Airport</x:v>
      </x:c>
      <x:c r="C65" s="7" t="str">
        <x:v>Offshore</x:v>
      </x:c>
      <x:c r="D65" s="2" t="str">
        <x:v>ZA-WC</x:v>
      </x:c>
      <x:c r="E65" s="7" t="str">
        <x:v>Confirmed real-world destination; MSFS status unverified</x:v>
      </x:c>
      <x:c r="F65" s="7" t="str">
        <x:v>Offshore: Extended network</x:v>
      </x:c>
      <x:c r="G65" s="16" t="n">
        <x:v>-33.97403</x:v>
      </x:c>
      <x:c r="H65" s="16" t="n">
        <x:v>18.604333</x:v>
      </x:c>
      <x:c r="I65" s="15" t="n">
        <x:v>151</x:v>
      </x:c>
      <x:c r="J65" s="15" t="n">
        <x:v>3201</x:v>
      </x:c>
      <x:c r="K65" s="15" t="n">
        <x:v>61</x:v>
      </x:c>
      <x:c r="L65" s="2" t="str">
        <x:v>ASP</x:v>
      </x:c>
      <x:c r="M65" s="2" t="str">
        <x:v>01/19</x:v>
      </x:c>
      <x:c r="N65" s="7" t="str">
        <x:v>3201 x 61 m; ASP; 01/19</x:v>
      </x:c>
      <x:c r="O65" s="7" t="str">
        <x:v>Cape Town marine logistics / technical support</x:v>
      </x:c>
      <x:c r="P65" s="7" t="str">
        <x:v>Offshore: Cape Town marine logistics / technical support — Marine-industry specialist/equipment or executive airport transfer; proposed adaptation of existing airport mission types.</x:v>
      </x:c>
      <x:c r="Q65" s="7" t="str">
        <x:v>No aircraft approved by this research. Known paved runway: candidate for fleet-specific AFM/weight/density-altitude assessment.</x:v>
      </x:c>
      <x:c r="R65" s="7" t="str">
        <x:v>Not queried by this cache; absence cannot be inferred.</x:v>
      </x:c>
      <x:c r="S65" s="15" t="n">
        <x:v>687.3</x:v>
      </x:c>
      <x:c r="T65" s="15" t="n">
        <x:v>692.2</x:v>
      </x:c>
      <x:c r="U65" s="2" t="n">
        <x:f>IF(S65="","",ROUNDUP(S65*1.10/'Aircraft and method'!C5*60+'Aircraft and method'!D5,0))</x:f>
        <x:v>513</x:v>
      </x:c>
      <x:c r="V65" s="2" t="n">
        <x:f>IF(S65="","",ROUNDUP(S65*1.10/'Aircraft and method'!C6*60+'Aircraft and method'!D6,0))</x:f>
        <x:v>303</x:v>
      </x:c>
      <x:c r="W65" s="2" t="n">
        <x:f>IF(S65="","",ROUNDUP(S65*1.10/'Aircraft and method'!C7*60+'Aircraft and method'!D7,0))</x:f>
        <x:v>270</x:v>
      </x:c>
      <x:c r="X65" s="2" t="n">
        <x:f>IF(S65="","",ROUNDUP(S65*1.10/'Aircraft and method'!C8*60+'Aircraft and method'!D8,0))</x:f>
        <x:v>303</x:v>
      </x:c>
      <x:c r="Y65" s="2" t="n">
        <x:f>IF(S65="","",ROUNDUP(S65*1.10/'Aircraft and method'!C9*60+'Aircraft and method'!D9,0))</x:f>
        <x:v>421</x:v>
      </x:c>
      <x:c r="Z65" s="2" t="n">
        <x:f>IF(S65="","",ROUNDUP(S65*1.10/'Aircraft and method'!C10*60+'Aircraft and method'!D10,0))</x:f>
        <x:v>574</x:v>
      </x:c>
      <x:c r="AA65" s="2" t="n">
        <x:f>IF(T65="","",ROUNDUP(T65*1.10/IF(T65&lt;60,170,'Aircraft and method'!C11)*60+IF(T65&lt;60,10,'Aircraft and method'!D11),0))</x:f>
        <x:v>223</x:v>
      </x:c>
      <x:c r="AB65" s="2" t="n">
        <x:f>IF(T65="","",ROUNDUP(T65*1.10/'Aircraft and method'!C12*60+'Aircraft and method'!D12,0))</x:f>
        <x:v>426</x:v>
      </x:c>
      <x:c r="AC65" s="7" t="str">
        <x:v>Ineligible: no evidenced purpose</x:v>
      </x:c>
      <x:c r="AD65" s="2"/>
      <x:c r="AE65" s="2"/>
      <x:c r="AF65" s="7" t="str">
        <x:v>Ineligible: no evidenced purpose</x:v>
      </x:c>
      <x:c r="AG65" s="2"/>
      <x:c r="AH65" s="2"/>
      <x:c r="AI65" s="7" t="str">
        <x:v>Ineligible: no evidenced purpose</x:v>
      </x:c>
      <x:c r="AJ65" s="2"/>
      <x:c r="AK65" s="2"/>
      <x:c r="AL65" s="7" t="str">
        <x:v>Eligible purpose</x:v>
      </x:c>
      <x:c r="AM65" s="2" t="n">
        <x:f>IF(Scoring!J67="","",Scoring!J67)</x:f>
        <x:v>88</x:v>
      </x:c>
      <x:c r="AN65" s="2" t="n">
        <x:f>Scoring!P67</x:f>
        <x:v>17</x:v>
      </x:c>
      <x:c r="AO65" s="7" t="str"/>
      <x:c r="AP65" s="2"/>
      <x:c r="AQ65" s="7" t="str">
        <x:v>https://eia.meft.gov.na/screening/4310_final_updated_dbmn_2024_eia_and_emp_report_for_atlantic_1_ml_47_june_2024.pdf</x:v>
      </x:c>
      <x:c r="AR65" s="7" t="str">
        <x:v>https://ourairports.com/airports/FACT/</x:v>
      </x:c>
      <x:c r="AS65" s="7" t="str">
        <x:v>OurAirports snapshot 2026-10-29</x:v>
      </x:c>
      <x:c r="AT65" s="7" t="str">
        <x:v>Documented Cape Town–Oranjemund crew chain; extension from Walvis Bay is a proposed executive/specialist mission. Cross-border clearance, reserves and current aircraft implementation required.</x:v>
      </x:c>
      <x:c r="AU65" s="7" t="str">
        <x:v>https://www.openstreetmap.org/?mlat=-33.974030&amp;mlon=18.604333#map=13/-33.974030/18.604333</x:v>
      </x:c>
      <x:c r="AV65" s="7" t="str">
        <x:v>Cape mountains, peninsula and ocean</x:v>
      </x:c>
      <x:c r="AW65" s="7" t="str">
        <x:v>Published identifier; reconcile with simulator</x:v>
      </x:c>
      <x:c r="AX65" s="2" t="str">
        <x:v>2026-10-29</x:v>
      </x:c>
    </x:row>
    <x:row r="66" ht="68" customHeight="1">
      <x:c r="A66" s="2" t="str">
        <x:v>offshore-benguela-gem</x:v>
      </x:c>
      <x:c r="B66" s="7" t="str">
        <x:v>Benguela Gem marine diamond vessel</x:v>
      </x:c>
      <x:c r="C66" s="7" t="str">
        <x:v>Offshore</x:v>
      </x:c>
      <x:c r="D66" s="2" t="str">
        <x:v>Namibia offshore / unresolved</x:v>
      </x:c>
      <x:c r="E66" s="7" t="str">
        <x:v>Confirmed real-world destination; MSFS status unverified</x:v>
      </x:c>
      <x:c r="F66" s="7" t="str">
        <x:v>Offshore: Deferred: mobile deck qualification</x:v>
      </x:c>
      <x:c r="G66" s="16"/>
      <x:c r="H66" s="16"/>
      <x:c r="I66" s="15"/>
      <x:c r="J66" s="15"/>
      <x:c r="K66" s="15"/>
      <x:c r="L66" s="2" t="str">
        <x:v>Unknown</x:v>
      </x:c>
      <x:c r="M66" s="2" t="str">
        <x:v>Unknown</x:v>
      </x:c>
      <x:c r="N66" s="7" t="str">
        <x:v>Runway dimensions, width, surface and orientation not established in this pass</x:v>
      </x:c>
      <x:c r="O66" s="7" t="str">
        <x:v>Benguela Gem marine diamond vessel</x:v>
      </x:c>
      <x:c r="P66" s="7" t="str">
        <x:v>Offshore: Benguela Gem marine diamond vessel — Crew/specialist transfer is real only for the vessel; development licence areas provide no landing facility.</x:v>
      </x:c>
      <x:c r="Q66" s="7" t="str">
        <x:v>No approved landing operation; research/deferred only.</x:v>
      </x:c>
      <x:c r="R66" s="7" t="str">
        <x:v>Not queried by this cache; absence cannot be inferred.</x:v>
      </x:c>
      <x:c r="S66" s="15"/>
      <x:c r="T66" s="15"/>
      <x:c r="U66" s="2" t="str">
        <x:f>IF(S66="","",ROUNDUP(S66*1.10/'Aircraft and method'!C5*60+'Aircraft and method'!D5,0))</x:f>
      </x:c>
      <x:c r="V66" s="2" t="str">
        <x:f>IF(S66="","",ROUNDUP(S66*1.10/'Aircraft and method'!C6*60+'Aircraft and method'!D6,0))</x:f>
      </x:c>
      <x:c r="W66" s="2" t="str">
        <x:f>IF(S66="","",ROUNDUP(S66*1.10/'Aircraft and method'!C7*60+'Aircraft and method'!D7,0))</x:f>
      </x:c>
      <x:c r="X66" s="2" t="str">
        <x:f>IF(S66="","",ROUNDUP(S66*1.10/'Aircraft and method'!C8*60+'Aircraft and method'!D8,0))</x:f>
      </x:c>
      <x:c r="Y66" s="2" t="str">
        <x:f>IF(S66="","",ROUNDUP(S66*1.10/'Aircraft and method'!C9*60+'Aircraft and method'!D9,0))</x:f>
      </x:c>
      <x:c r="Z66" s="2" t="str">
        <x:f>IF(S66="","",ROUNDUP(S66*1.10/'Aircraft and method'!C10*60+'Aircraft and method'!D10,0))</x:f>
      </x:c>
      <x:c r="AA66" s="2" t="str">
        <x:f>IF(T66="","",ROUNDUP(T66*1.10/IF(T66&lt;60,170,'Aircraft and method'!C11)*60+IF(T66&lt;60,10,'Aircraft and method'!D11),0))</x:f>
      </x:c>
      <x:c r="AB66" s="2" t="str">
        <x:f>IF(T66="","",ROUNDUP(T66*1.10/'Aircraft and method'!C12*60+'Aircraft and method'!D12,0))</x:f>
      </x:c>
      <x:c r="AC66" s="7" t="str">
        <x:v>Ineligible: no evidenced purpose</x:v>
      </x:c>
      <x:c r="AD66" s="2"/>
      <x:c r="AE66" s="2"/>
      <x:c r="AF66" s="7" t="str">
        <x:v>Ineligible: no evidenced purpose</x:v>
      </x:c>
      <x:c r="AG66" s="2"/>
      <x:c r="AH66" s="2"/>
      <x:c r="AI66" s="7" t="str">
        <x:v>Ineligible: no evidenced purpose</x:v>
      </x:c>
      <x:c r="AJ66" s="2"/>
      <x:c r="AK66" s="2"/>
      <x:c r="AL66" s="7" t="str">
        <x:v>Eligible purpose</x:v>
      </x:c>
      <x:c r="AM66" s="2" t="n">
        <x:f>IF(Scoring!J71="","",Scoring!J71)</x:f>
        <x:v>56</x:v>
      </x:c>
      <x:c r="AN66" s="2" t="n">
        <x:f>Scoring!P71</x:f>
        <x:v>23</x:v>
      </x:c>
      <x:c r="AO66" s="7" t="str"/>
      <x:c r="AP66" s="2"/>
      <x:c r="AQ66" s="7" t="str">
        <x:v>https://miningexpo.bi-dynamics.com/wp-content/uploads/2023/06/5.-Benguela-Gem-The-Game-Changer-of-Marine-Diamond-Recovery.pdf
https://eia.meft.gov.na/screening/4310_final_updated_dbmn_2024_eia_and_emp_report_for_atlantic_1_ml_47_june_2024.pdf</x:v>
      </x:c>
      <x:c r="AR66" s="7" t="str"/>
      <x:c r="AS66" s="7" t="str">
        <x:v>Unknown; omitted from map</x:v>
      </x:c>
      <x:c r="AT66" s="7" t="str">
        <x:v>Real helicopter crew-change purpose; mobile vessel, no persistent landing coordinate or simulator deck evidence. H125 disabled and offshore single-engine suitability unqualified. Not a stationary platform.</x:v>
      </x:c>
      <x:c r="AU66" s="7" t="str"/>
      <x:c r="AV66" s="7" t="str">
        <x:v>Offshore Atlantic</x:v>
      </x:c>
      <x:c r="AW66" s="7" t="str">
        <x:v>Research label only; no invented ICAO</x:v>
      </x:c>
      <x:c r="AX66" s="2" t="str">
        <x:v>2026-10-29</x:v>
      </x:c>
    </x:row>
    <x:row r="67" ht="54" customHeight="1">
      <x:c r="A67" s="2" t="str">
        <x:v>offshore-kudu</x:v>
      </x:c>
      <x:c r="B67" s="7" t="str">
        <x:v>Kudu gas development area</x:v>
      </x:c>
      <x:c r="C67" s="7" t="str"/>
      <x:c r="D67" s="2" t="str">
        <x:v>Namibia offshore / unresolved</x:v>
      </x:c>
      <x:c r="E67" s="7" t="str">
        <x:v>Unsuitable or rejected</x:v>
      </x:c>
      <x:c r="F67" s="7" t="str">
        <x:v>Offshore: Reject current landing destination</x:v>
      </x:c>
      <x:c r="G67" s="16"/>
      <x:c r="H67" s="16"/>
      <x:c r="I67" s="15"/>
      <x:c r="J67" s="15"/>
      <x:c r="K67" s="15"/>
      <x:c r="L67" s="2" t="str">
        <x:v>Unknown</x:v>
      </x:c>
      <x:c r="M67" s="2" t="str">
        <x:v>Unknown</x:v>
      </x:c>
      <x:c r="N67" s="7" t="str">
        <x:v>Runway dimensions, width, surface and orientation not established in this pass</x:v>
      </x:c>
      <x:c r="O67" s="7" t="str">
        <x:v>Kudu gas development area</x:v>
      </x:c>
      <x:c r="P67" s="7" t="str">
        <x:v>Offshore: Kudu gas development area — Crew/specialist transfer is real only for the vessel; development licence areas provide no landing facility.</x:v>
      </x:c>
      <x:c r="Q67" s="7" t="str">
        <x:v>No approved landing operation; research/deferred only.</x:v>
      </x:c>
      <x:c r="R67" s="7" t="str">
        <x:v>Not queried by this cache; absence cannot be inferred.</x:v>
      </x:c>
      <x:c r="S67" s="15"/>
      <x:c r="T67" s="15"/>
      <x:c r="U67" s="2" t="str">
        <x:f>IF(S67="","",ROUNDUP(S67*1.10/'Aircraft and method'!C5*60+'Aircraft and method'!D5,0))</x:f>
      </x:c>
      <x:c r="V67" s="2" t="str">
        <x:f>IF(S67="","",ROUNDUP(S67*1.10/'Aircraft and method'!C6*60+'Aircraft and method'!D6,0))</x:f>
      </x:c>
      <x:c r="W67" s="2" t="str">
        <x:f>IF(S67="","",ROUNDUP(S67*1.10/'Aircraft and method'!C7*60+'Aircraft and method'!D7,0))</x:f>
      </x:c>
      <x:c r="X67" s="2" t="str">
        <x:f>IF(S67="","",ROUNDUP(S67*1.10/'Aircraft and method'!C8*60+'Aircraft and method'!D8,0))</x:f>
      </x:c>
      <x:c r="Y67" s="2" t="str">
        <x:f>IF(S67="","",ROUNDUP(S67*1.10/'Aircraft and method'!C9*60+'Aircraft and method'!D9,0))</x:f>
      </x:c>
      <x:c r="Z67" s="2" t="str">
        <x:f>IF(S67="","",ROUNDUP(S67*1.10/'Aircraft and method'!C10*60+'Aircraft and method'!D10,0))</x:f>
      </x:c>
      <x:c r="AA67" s="2" t="str">
        <x:f>IF(T67="","",ROUNDUP(T67*1.10/IF(T67&lt;60,170,'Aircraft and method'!C11)*60+IF(T67&lt;60,10,'Aircraft and method'!D11),0))</x:f>
      </x:c>
      <x:c r="AB67" s="2" t="str">
        <x:f>IF(T67="","",ROUNDUP(T67*1.10/'Aircraft and method'!C12*60+'Aircraft and method'!D12,0))</x:f>
      </x:c>
      <x:c r="AC67" s="7" t="str">
        <x:v>Ineligible: no evidenced purpose</x:v>
      </x:c>
      <x:c r="AD67" s="2"/>
      <x:c r="AE67" s="2"/>
      <x:c r="AF67" s="7" t="str">
        <x:v>Ineligible: no evidenced purpose</x:v>
      </x:c>
      <x:c r="AG67" s="2"/>
      <x:c r="AH67" s="2"/>
      <x:c r="AI67" s="7" t="str">
        <x:v>Ineligible: no evidenced purpose</x:v>
      </x:c>
      <x:c r="AJ67" s="2"/>
      <x:c r="AK67" s="2"/>
      <x:c r="AL67" s="7" t="str">
        <x:v>Ineligible purpose</x:v>
      </x:c>
      <x:c r="AM67" s="2" t="str">
        <x:f>IF(Scoring!J72="","",Scoring!J72)</x:f>
      </x:c>
      <x:c r="AN67" s="2" t="n">
        <x:f>Scoring!P72</x:f>
        <x:v>0</x:v>
      </x:c>
      <x:c r="AO67" s="7" t="str"/>
      <x:c r="AP67" s="2"/>
      <x:c r="AQ67" s="7" t="str">
        <x:v>https://www.bwenergy.no/en/operations/namibia/kudu/</x:v>
      </x:c>
      <x:c r="AR67" s="7" t="str"/>
      <x:c r="AS67" s="7" t="str">
        <x:v>Unknown; omitted from map</x:v>
      </x:c>
      <x:c r="AT67" s="7" t="str">
        <x:v>Operator lists production TBD and installation NA. A discovery/licence is not a landable platform; reject current landing destination. No field-centre coordinate substituted.</x:v>
      </x:c>
      <x:c r="AU67" s="7" t="str"/>
      <x:c r="AV67" s="7" t="str">
        <x:v>Offshore Atlantic</x:v>
      </x:c>
      <x:c r="AW67" s="7" t="str">
        <x:v>Research label only; no invented ICAO</x:v>
      </x:c>
      <x:c r="AX67" s="2" t="str">
        <x:v>2026-10-29</x:v>
      </x:c>
    </x:row>
    <x:row r="68" ht="54" customHeight="1">
      <x:c r="A68" s="2" t="str">
        <x:v>offshore-venus</x:v>
      </x:c>
      <x:c r="B68" s="7" t="str">
        <x:v>Venus proposed development</x:v>
      </x:c>
      <x:c r="C68" s="7" t="str"/>
      <x:c r="D68" s="2" t="str">
        <x:v>Namibia offshore / unresolved</x:v>
      </x:c>
      <x:c r="E68" s="7" t="str">
        <x:v>Unsuitable or rejected</x:v>
      </x:c>
      <x:c r="F68" s="7" t="str">
        <x:v>Offshore: Reject current landing destination</x:v>
      </x:c>
      <x:c r="G68" s="16"/>
      <x:c r="H68" s="16"/>
      <x:c r="I68" s="15"/>
      <x:c r="J68" s="15"/>
      <x:c r="K68" s="15"/>
      <x:c r="L68" s="2" t="str">
        <x:v>Unknown</x:v>
      </x:c>
      <x:c r="M68" s="2" t="str">
        <x:v>Unknown</x:v>
      </x:c>
      <x:c r="N68" s="7" t="str">
        <x:v>Runway dimensions, width, surface and orientation not established in this pass</x:v>
      </x:c>
      <x:c r="O68" s="7" t="str">
        <x:v>Venus proposed development</x:v>
      </x:c>
      <x:c r="P68" s="7" t="str">
        <x:v>Offshore: Venus proposed development — Crew/specialist transfer is real only for the vessel; development licence areas provide no landing facility.</x:v>
      </x:c>
      <x:c r="Q68" s="7" t="str">
        <x:v>No approved landing operation; research/deferred only.</x:v>
      </x:c>
      <x:c r="R68" s="7" t="str">
        <x:v>Not queried by this cache; absence cannot be inferred.</x:v>
      </x:c>
      <x:c r="S68" s="15"/>
      <x:c r="T68" s="15"/>
      <x:c r="U68" s="2" t="str">
        <x:f>IF(S68="","",ROUNDUP(S68*1.10/'Aircraft and method'!C5*60+'Aircraft and method'!D5,0))</x:f>
      </x:c>
      <x:c r="V68" s="2" t="str">
        <x:f>IF(S68="","",ROUNDUP(S68*1.10/'Aircraft and method'!C6*60+'Aircraft and method'!D6,0))</x:f>
      </x:c>
      <x:c r="W68" s="2" t="str">
        <x:f>IF(S68="","",ROUNDUP(S68*1.10/'Aircraft and method'!C7*60+'Aircraft and method'!D7,0))</x:f>
      </x:c>
      <x:c r="X68" s="2" t="str">
        <x:f>IF(S68="","",ROUNDUP(S68*1.10/'Aircraft and method'!C8*60+'Aircraft and method'!D8,0))</x:f>
      </x:c>
      <x:c r="Y68" s="2" t="str">
        <x:f>IF(S68="","",ROUNDUP(S68*1.10/'Aircraft and method'!C9*60+'Aircraft and method'!D9,0))</x:f>
      </x:c>
      <x:c r="Z68" s="2" t="str">
        <x:f>IF(S68="","",ROUNDUP(S68*1.10/'Aircraft and method'!C10*60+'Aircraft and method'!D10,0))</x:f>
      </x:c>
      <x:c r="AA68" s="2" t="str">
        <x:f>IF(T68="","",ROUNDUP(T68*1.10/IF(T68&lt;60,170,'Aircraft and method'!C11)*60+IF(T68&lt;60,10,'Aircraft and method'!D11),0))</x:f>
      </x:c>
      <x:c r="AB68" s="2" t="str">
        <x:f>IF(T68="","",ROUNDUP(T68*1.10/'Aircraft and method'!C12*60+'Aircraft and method'!D12,0))</x:f>
      </x:c>
      <x:c r="AC68" s="7" t="str">
        <x:v>Ineligible: no evidenced purpose</x:v>
      </x:c>
      <x:c r="AD68" s="2"/>
      <x:c r="AE68" s="2"/>
      <x:c r="AF68" s="7" t="str">
        <x:v>Ineligible: no evidenced purpose</x:v>
      </x:c>
      <x:c r="AG68" s="2"/>
      <x:c r="AH68" s="2"/>
      <x:c r="AI68" s="7" t="str">
        <x:v>Ineligible: no evidenced purpose</x:v>
      </x:c>
      <x:c r="AJ68" s="2"/>
      <x:c r="AK68" s="2"/>
      <x:c r="AL68" s="7" t="str">
        <x:v>Ineligible purpose</x:v>
      </x:c>
      <x:c r="AM68" s="2" t="str">
        <x:f>IF(Scoring!J73="","",Scoring!J73)</x:f>
      </x:c>
      <x:c r="AN68" s="2" t="n">
        <x:f>Scoring!P73</x:f>
        <x:v>0</x:v>
      </x:c>
      <x:c r="AO68" s="7" t="str"/>
      <x:c r="AP68" s="2"/>
      <x:c r="AQ68" s="7" t="str">
        <x:v>https://www.slrconsulting.com/public-documents/esia-venus-offshore-dev/</x:v>
      </x:c>
      <x:c r="AR68" s="7" t="str"/>
      <x:c r="AS68" s="7" t="str">
        <x:v>Unknown; omitted from map</x:v>
      </x:c>
      <x:c r="AT68" s="7" t="str">
        <x:v>Proposed subsea/FPSO development, not a confirmed installed simulator destination. Distant offshore reach not approved for H125; no invented pad or coordinates.</x:v>
      </x:c>
      <x:c r="AU68" s="7" t="str"/>
      <x:c r="AV68" s="7" t="str">
        <x:v>Offshore Atlantic</x:v>
      </x:c>
      <x:c r="AW68" s="7" t="str">
        <x:v>Research label only; no invented ICAO</x:v>
      </x:c>
      <x:c r="AX68" s="2" t="str">
        <x:v>2026-10-29</x:v>
      </x:c>
    </x:row>
    <x:row r="69" ht="54" customHeight="1">
      <x:c r="A69" s="2" t="str">
        <x:v>custom-etanga</x:v>
      </x:c>
      <x:c r="B69" s="7" t="str">
        <x:v>Etanga Clinic service area</x:v>
      </x:c>
      <x:c r="C69" s="7" t="str"/>
      <x:c r="D69" s="2" t="str">
        <x:v>Namibia offshore / unresolved</x:v>
      </x:c>
      <x:c r="E69" s="7" t="str">
        <x:v>Speculative candidate</x:v>
      </x:c>
      <x:c r="F69" s="7" t="str">
        <x:v>Custom research only</x:v>
      </x:c>
      <x:c r="G69" s="16" t="n">
        <x:v>-17.8675792</x:v>
      </x:c>
      <x:c r="H69" s="16" t="n">
        <x:v>13.025594</x:v>
      </x:c>
      <x:c r="I69" s="15"/>
      <x:c r="J69" s="15"/>
      <x:c r="K69" s="15"/>
      <x:c r="L69" s="2" t="str">
        <x:v>Unknown</x:v>
      </x:c>
      <x:c r="M69" s="2" t="str">
        <x:v>Unknown</x:v>
      </x:c>
      <x:c r="N69" s="7" t="str">
        <x:v>Runway dimensions, width, surface and orientation not established in this pass</x:v>
      </x:c>
      <x:c r="O69" s="7" t="str">
        <x:v>Etanga Clinic service area</x:v>
      </x:c>
      <x:c r="P69" s="7" t="str">
        <x:v>Base / custom service-area research only</x:v>
      </x:c>
      <x:c r="Q69" s="7" t="str">
        <x:v>No approved landing operation; research/deferred only.</x:v>
      </x:c>
      <x:c r="R69" s="7" t="str">
        <x:v>Not queried by this cache; absence cannot be inferred.</x:v>
      </x:c>
      <x:c r="S69" s="15" t="n">
        <x:v>364.7</x:v>
      </x:c>
      <x:c r="T69" s="15" t="n">
        <x:v>320.2</x:v>
      </x:c>
      <x:c r="U69" s="2" t="n">
        <x:f>IF(S69="","",ROUNDUP(S69*1.10/'Aircraft and method'!C5*60+'Aircraft and method'!D5,0))</x:f>
        <x:v>276</x:v>
      </x:c>
      <x:c r="V69" s="2" t="n">
        <x:f>IF(S69="","",ROUNDUP(S69*1.10/'Aircraft and method'!C6*60+'Aircraft and method'!D6,0))</x:f>
        <x:v>166</x:v>
      </x:c>
      <x:c r="W69" s="2" t="n">
        <x:f>IF(S69="","",ROUNDUP(S69*1.10/'Aircraft and method'!C7*60+'Aircraft and method'!D7,0))</x:f>
        <x:v>148</x:v>
      </x:c>
      <x:c r="X69" s="2" t="n">
        <x:f>IF(S69="","",ROUNDUP(S69*1.10/'Aircraft and method'!C8*60+'Aircraft and method'!D8,0))</x:f>
        <x:v>166</x:v>
      </x:c>
      <x:c r="Y69" s="2" t="n">
        <x:f>IF(S69="","",ROUNDUP(S69*1.10/'Aircraft and method'!C9*60+'Aircraft and method'!D9,0))</x:f>
        <x:v>227</x:v>
      </x:c>
      <x:c r="Z69" s="2" t="n">
        <x:f>IF(S69="","",ROUNDUP(S69*1.10/'Aircraft and method'!C10*60+'Aircraft and method'!D10,0))</x:f>
        <x:v>307</x:v>
      </x:c>
      <x:c r="AA69" s="2" t="n">
        <x:f>IF(T69="","",ROUNDUP(T69*1.10/IF(T69&lt;60,170,'Aircraft and method'!C11)*60+IF(T69&lt;60,10,'Aircraft and method'!D11),0))</x:f>
        <x:v>112</x:v>
      </x:c>
      <x:c r="AB69" s="2" t="n">
        <x:f>IF(T69="","",ROUNDUP(T69*1.10/'Aircraft and method'!C12*60+'Aircraft and method'!D12,0))</x:f>
        <x:v>203</x:v>
      </x:c>
      <x:c r="AC69" s="7" t="str">
        <x:v>Ineligible: no evidenced purpose</x:v>
      </x:c>
      <x:c r="AD69" s="2"/>
      <x:c r="AE69" s="2"/>
      <x:c r="AF69" s="7" t="str">
        <x:v>Ineligible: no evidenced purpose</x:v>
      </x:c>
      <x:c r="AG69" s="2"/>
      <x:c r="AH69" s="2"/>
      <x:c r="AI69" s="7" t="str">
        <x:v>Ineligible: no evidenced purpose</x:v>
      </x:c>
      <x:c r="AJ69" s="2"/>
      <x:c r="AK69" s="2"/>
      <x:c r="AL69" s="7" t="str">
        <x:v>Ineligible: no evidenced purpose</x:v>
      </x:c>
      <x:c r="AM69" s="2"/>
      <x:c r="AN69" s="2"/>
      <x:c r="AO69" s="7" t="str"/>
      <x:c r="AP69" s="2"/>
      <x:c r="AQ69" s="7" t="str">
        <x:v>https://www.nip.com.na/wp-content/uploads/2025/09/REQUEST-FOR-INFORMATION-Provision-of-drone-delivery-services-26-Sept-2025.pdf
https://www.wch.gov.na/web/mhss/kunene-region</x:v>
      </x:c>
      <x:c r="AR69" s="7" t="str"/>
      <x:c r="AS69" s="7" t="str">
        <x:v>Explicit source; see notes</x:v>
      </x:c>
      <x:c r="AT69" s="7" t="str">
        <x:v>Strong medical network need. First search for nearby existing strip; no runway absence established. Candidate landing survey needs terrain, drainage, land-use and ground-transfer review.</x:v>
      </x:c>
      <x:c r="AU69" s="7" t="str">
        <x:v>https://www.openstreetmap.org/?mlat=-17.867579&amp;mlon=13.025594#map=13/-17.867579/13.025594</x:v>
      </x:c>
      <x:c r="AV69" s="7" t="str">
        <x:v>Kunene community hinterland</x:v>
      </x:c>
      <x:c r="AW69" s="7" t="str">
        <x:v>Research label only; no invented ICAO</x:v>
      </x:c>
      <x:c r="AX69" s="2" t="str">
        <x:v>2026-10-29</x:v>
      </x:c>
    </x:row>
    <x:row r="70" ht="54" customHeight="1">
      <x:c r="A70" s="2" t="str">
        <x:v>custom-otjondeka</x:v>
      </x:c>
      <x:c r="B70" s="7" t="str">
        <x:v>Otjondeka Clinic service area</x:v>
      </x:c>
      <x:c r="C70" s="7" t="str"/>
      <x:c r="D70" s="2" t="str">
        <x:v>Namibia offshore / unresolved</x:v>
      </x:c>
      <x:c r="E70" s="7" t="str">
        <x:v>Speculative candidate</x:v>
      </x:c>
      <x:c r="F70" s="7" t="str">
        <x:v>Custom research only</x:v>
      </x:c>
      <x:c r="G70" s="16" t="n">
        <x:v>-18.630306</x:v>
      </x:c>
      <x:c r="H70" s="16" t="n">
        <x:v>14.234317</x:v>
      </x:c>
      <x:c r="I70" s="15"/>
      <x:c r="J70" s="15"/>
      <x:c r="K70" s="15"/>
      <x:c r="L70" s="2" t="str">
        <x:v>Unknown</x:v>
      </x:c>
      <x:c r="M70" s="2" t="str">
        <x:v>Unknown</x:v>
      </x:c>
      <x:c r="N70" s="7" t="str">
        <x:v>Runway dimensions, width, surface and orientation not established in this pass</x:v>
      </x:c>
      <x:c r="O70" s="7" t="str">
        <x:v>Otjondeka Clinic service area</x:v>
      </x:c>
      <x:c r="P70" s="7" t="str">
        <x:v>Base / custom service-area research only</x:v>
      </x:c>
      <x:c r="Q70" s="7" t="str">
        <x:v>No approved landing operation; research/deferred only.</x:v>
      </x:c>
      <x:c r="R70" s="7" t="str">
        <x:v>Not queried by this cache; absence cannot be inferred.</x:v>
      </x:c>
      <x:c r="S70" s="15" t="n">
        <x:v>287.2</x:v>
      </x:c>
      <x:c r="T70" s="15" t="n">
        <x:v>262.2</x:v>
      </x:c>
      <x:c r="U70" s="2" t="n">
        <x:f>IF(S70="","",ROUNDUP(S70*1.10/'Aircraft and method'!C5*60+'Aircraft and method'!D5,0))</x:f>
        <x:v>219</x:v>
      </x:c>
      <x:c r="V70" s="2" t="n">
        <x:f>IF(S70="","",ROUNDUP(S70*1.10/'Aircraft and method'!C6*60+'Aircraft and method'!D6,0))</x:f>
        <x:v>133</x:v>
      </x:c>
      <x:c r="W70" s="2" t="n">
        <x:f>IF(S70="","",ROUNDUP(S70*1.10/'Aircraft and method'!C7*60+'Aircraft and method'!D7,0))</x:f>
        <x:v>119</x:v>
      </x:c>
      <x:c r="X70" s="2" t="n">
        <x:f>IF(S70="","",ROUNDUP(S70*1.10/'Aircraft and method'!C8*60+'Aircraft and method'!D8,0))</x:f>
        <x:v>133</x:v>
      </x:c>
      <x:c r="Y70" s="2" t="n">
        <x:f>IF(S70="","",ROUNDUP(S70*1.10/'Aircraft and method'!C9*60+'Aircraft and method'!D9,0))</x:f>
        <x:v>181</x:v>
      </x:c>
      <x:c r="Z70" s="2" t="n">
        <x:f>IF(S70="","",ROUNDUP(S70*1.10/'Aircraft and method'!C10*60+'Aircraft and method'!D10,0))</x:f>
        <x:v>243</x:v>
      </x:c>
      <x:c r="AA70" s="2" t="n">
        <x:f>IF(T70="","",ROUNDUP(T70*1.10/IF(T70&lt;60,170,'Aircraft and method'!C11)*60+IF(T70&lt;60,10,'Aircraft and method'!D11),0))</x:f>
        <x:v>94</x:v>
      </x:c>
      <x:c r="AB70" s="2" t="n">
        <x:f>IF(T70="","",ROUNDUP(T70*1.10/'Aircraft and method'!C12*60+'Aircraft and method'!D12,0))</x:f>
        <x:v>168</x:v>
      </x:c>
      <x:c r="AC70" s="7" t="str">
        <x:v>Ineligible: no evidenced purpose</x:v>
      </x:c>
      <x:c r="AD70" s="2"/>
      <x:c r="AE70" s="2"/>
      <x:c r="AF70" s="7" t="str">
        <x:v>Ineligible: no evidenced purpose</x:v>
      </x:c>
      <x:c r="AG70" s="2"/>
      <x:c r="AH70" s="2"/>
      <x:c r="AI70" s="7" t="str">
        <x:v>Ineligible: no evidenced purpose</x:v>
      </x:c>
      <x:c r="AJ70" s="2"/>
      <x:c r="AK70" s="2"/>
      <x:c r="AL70" s="7" t="str">
        <x:v>Ineligible: no evidenced purpose</x:v>
      </x:c>
      <x:c r="AM70" s="2"/>
      <x:c r="AN70" s="2"/>
      <x:c r="AO70" s="7" t="str"/>
      <x:c r="AP70" s="2"/>
      <x:c r="AQ70" s="7" t="str">
        <x:v>https://www.nip.com.na/wp-content/uploads/2025/09/REQUEST-FOR-INFORMATION-Provision-of-drone-delivery-services-26-Sept-2025.pdf
https://www.wch.gov.na/web/mhss/kunene-region</x:v>
      </x:c>
      <x:c r="AR70" s="7" t="str"/>
      <x:c r="AS70" s="7" t="str">
        <x:v>Explicit source; see notes</x:v>
      </x:c>
      <x:c r="AT70" s="7" t="str">
        <x:v>Named remote clinic and sample route. Nearer outreach network than northern border sites, but still long from Eros; do not relocate the operating base without design approval.</x:v>
      </x:c>
      <x:c r="AU70" s="7" t="str">
        <x:v>https://www.openstreetmap.org/?mlat=-18.630306&amp;mlon=14.234317#map=13/-18.630306/14.234317</x:v>
      </x:c>
      <x:c r="AV70" s="7" t="str">
        <x:v>Kunene community hinterland</x:v>
      </x:c>
      <x:c r="AW70" s="7" t="str">
        <x:v>Research label only; no invented ICAO</x:v>
      </x:c>
      <x:c r="AX70" s="2" t="str">
        <x:v>2026-10-29</x:v>
      </x:c>
    </x:row>
    <x:row r="71" ht="54" customHeight="1">
      <x:c r="A71" s="2" t="str">
        <x:v>custom-oruvandjei</x:v>
      </x:c>
      <x:c r="B71" s="7" t="str">
        <x:v>Oruvandjei Clinic service area</x:v>
      </x:c>
      <x:c r="C71" s="7" t="str"/>
      <x:c r="D71" s="2" t="str">
        <x:v>Namibia offshore / unresolved</x:v>
      </x:c>
      <x:c r="E71" s="7" t="str">
        <x:v>Speculative candidate</x:v>
      </x:c>
      <x:c r="F71" s="7" t="str">
        <x:v>Custom research only</x:v>
      </x:c>
      <x:c r="G71" s="16" t="n">
        <x:v>-18.9190037</x:v>
      </x:c>
      <x:c r="H71" s="16" t="n">
        <x:v>14.1067336</x:v>
      </x:c>
      <x:c r="I71" s="15"/>
      <x:c r="J71" s="15"/>
      <x:c r="K71" s="15"/>
      <x:c r="L71" s="2" t="str">
        <x:v>Unknown</x:v>
      </x:c>
      <x:c r="M71" s="2" t="str">
        <x:v>Unknown</x:v>
      </x:c>
      <x:c r="N71" s="7" t="str">
        <x:v>Runway dimensions, width, surface and orientation not established in this pass</x:v>
      </x:c>
      <x:c r="O71" s="7" t="str">
        <x:v>Oruvandjei Clinic service area</x:v>
      </x:c>
      <x:c r="P71" s="7" t="str">
        <x:v>Base / custom service-area research only</x:v>
      </x:c>
      <x:c r="Q71" s="7" t="str">
        <x:v>No approved landing operation; research/deferred only.</x:v>
      </x:c>
      <x:c r="R71" s="7" t="str">
        <x:v>Not queried by this cache; absence cannot be inferred.</x:v>
      </x:c>
      <x:c r="S71" s="15" t="n">
        <x:v>277.1</x:v>
      </x:c>
      <x:c r="T71" s="15" t="n">
        <x:v>245.7</x:v>
      </x:c>
      <x:c r="U71" s="2" t="n">
        <x:f>IF(S71="","",ROUNDUP(S71*1.10/'Aircraft and method'!C5*60+'Aircraft and method'!D5,0))</x:f>
        <x:v>212</x:v>
      </x:c>
      <x:c r="V71" s="2" t="n">
        <x:f>IF(S71="","",ROUNDUP(S71*1.10/'Aircraft and method'!C6*60+'Aircraft and method'!D6,0))</x:f>
        <x:v>128</x:v>
      </x:c>
      <x:c r="W71" s="2" t="n">
        <x:f>IF(S71="","",ROUNDUP(S71*1.10/'Aircraft and method'!C7*60+'Aircraft and method'!D7,0))</x:f>
        <x:v>115</x:v>
      </x:c>
      <x:c r="X71" s="2" t="n">
        <x:f>IF(S71="","",ROUNDUP(S71*1.10/'Aircraft and method'!C8*60+'Aircraft and method'!D8,0))</x:f>
        <x:v>128</x:v>
      </x:c>
      <x:c r="Y71" s="2" t="n">
        <x:f>IF(S71="","",ROUNDUP(S71*1.10/'Aircraft and method'!C9*60+'Aircraft and method'!D9,0))</x:f>
        <x:v>175</x:v>
      </x:c>
      <x:c r="Z71" s="2" t="n">
        <x:f>IF(S71="","",ROUNDUP(S71*1.10/'Aircraft and method'!C10*60+'Aircraft and method'!D10,0))</x:f>
        <x:v>235</x:v>
      </x:c>
      <x:c r="AA71" s="2" t="n">
        <x:f>IF(T71="","",ROUNDUP(T71*1.10/IF(T71&lt;60,170,'Aircraft and method'!C11)*60+IF(T71&lt;60,10,'Aircraft and method'!D11),0))</x:f>
        <x:v>89</x:v>
      </x:c>
      <x:c r="AB71" s="2" t="n">
        <x:f>IF(T71="","",ROUNDUP(T71*1.10/'Aircraft and method'!C12*60+'Aircraft and method'!D12,0))</x:f>
        <x:v>158</x:v>
      </x:c>
      <x:c r="AC71" s="7" t="str">
        <x:v>Ineligible: no evidenced purpose</x:v>
      </x:c>
      <x:c r="AD71" s="2"/>
      <x:c r="AE71" s="2"/>
      <x:c r="AF71" s="7" t="str">
        <x:v>Ineligible: no evidenced purpose</x:v>
      </x:c>
      <x:c r="AG71" s="2"/>
      <x:c r="AH71" s="2"/>
      <x:c r="AI71" s="7" t="str">
        <x:v>Ineligible: no evidenced purpose</x:v>
      </x:c>
      <x:c r="AJ71" s="2"/>
      <x:c r="AK71" s="2"/>
      <x:c r="AL71" s="7" t="str">
        <x:v>Ineligible: no evidenced purpose</x:v>
      </x:c>
      <x:c r="AM71" s="2"/>
      <x:c r="AN71" s="2"/>
      <x:c r="AO71" s="7" t="str"/>
      <x:c r="AP71" s="2"/>
      <x:c r="AQ71" s="7" t="str">
        <x:v>https://www.nip.com.na/wp-content/uploads/2025/09/REQUEST-FOR-INFORMATION-Provision-of-drone-delivery-services-26-Sept-2025.pdf
https://www.wch.gov.na/web/mhss/kunene-region</x:v>
      </x:c>
      <x:c r="AR71" s="7" t="str"/>
      <x:c r="AS71" s="7" t="str">
        <x:v>Explicit source; see notes</x:v>
      </x:c>
      <x:c r="AT71" s="7" t="str">
        <x:v>Named outreach clinic, potential community supply destination. Published point is clinic location only; slope/obstacles/land rights and alternative strips unresolved.</x:v>
      </x:c>
      <x:c r="AU71" s="7" t="str">
        <x:v>https://www.openstreetmap.org/?mlat=-18.919004&amp;mlon=14.106734#map=13/-18.919004/14.106734</x:v>
      </x:c>
      <x:c r="AV71" s="7" t="str">
        <x:v>Kunene community hinterland</x:v>
      </x:c>
      <x:c r="AW71" s="7" t="str">
        <x:v>Research label only; no invented ICAO</x:v>
      </x:c>
      <x:c r="AX71" s="2" t="str">
        <x:v>2026-10-29</x:v>
      </x:c>
    </x:row>
  </x:sheetData>
  <x:conditionalFormatting sqref="AD6:AD71">
    <x:cfRule type="dataBar" priority="1">
      <x:dataBar>
        <x:cfvo type="min"/>
        <x:cfvo type="max"/>
        <x:color rgb="FF7DAA96"/>
      </x:dataBar>
    </x:cfRule>
  </x:conditionalFormatting>
  <x:conditionalFormatting sqref="AG6:AG71">
    <x:cfRule type="dataBar" priority="2">
      <x:dataBar>
        <x:cfvo type="min"/>
        <x:cfvo type="max"/>
        <x:color rgb="FF7DAA96"/>
      </x:dataBar>
    </x:cfRule>
  </x:conditionalFormatting>
  <x:conditionalFormatting sqref="AJ6:AJ71">
    <x:cfRule type="dataBar" priority="3">
      <x:dataBar>
        <x:cfvo type="min"/>
        <x:cfvo type="max"/>
        <x:color rgb="FF7DAA96"/>
      </x:dataBar>
    </x:cfRule>
  </x:conditionalFormatting>
  <x:conditionalFormatting sqref="AM6:AM71">
    <x:cfRule type="dataBar" priority="4">
      <x:dataBar>
        <x:cfvo type="min"/>
        <x:cfvo type="max"/>
        <x:color rgb="FF7DAA96"/>
      </x:dataBar>
    </x:cfRule>
  </x:conditionalFormatting>
  <x:conditionalFormatting sqref="E6:E71">
    <x:cfRule type="containsText" dxfId="0" priority="5" operator="containsText" text="Partially"/>
  </x:conditionalFormatting>
  <x:pageMargins left="0.7" right="0.7" top="0.75" bottom="0.75" header="0.3" footer="0.3"/>
  <x:tableParts count="1">
    <x:tablePart xmlns:r="http://schemas.openxmlformats.org/officeDocument/2006/relationships" r:id="R5e3cc1236ff54c6d"/>
  </x:tableParts>
</x:worksheet>
</file>

<file path=xl/worksheets/sheet3.xml><?xml version="1.0" encoding="utf-8"?>
<x:worksheet xmlns:x="http://schemas.openxmlformats.org/spreadsheetml/2006/main">
  <x:sheetPr>
    <x:tabColor rgb="FF304E5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0" hidden="0" customWidth="1"/>
    <x:col min="3" max="3" width="36" hidden="0" customWidth="1"/>
    <x:col min="4" max="4" width="23" hidden="0" customWidth="1"/>
    <x:col min="5" max="5" width="3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42" hidden="0" customWidth="1"/>
    <x:col min="18" max="18" width="17" hidden="0" customWidth="1"/>
    <x:col min="19" max="19" width="21" hidden="0" customWidth="1"/>
    <x:col min="20" max="20" width="60" hidden="0" customWidth="1"/>
    <x:col min="21" max="21" width="65" hidden="0" customWidth="1"/>
    <x:col min="22" max="22" width="18" hidden="0" customWidth="1"/>
    <x:col min="23" max="23" width="17" hidden="0" customWidth="1"/>
    <x:col min="24" max="24" width="17" hidden="0" customWidth="1"/>
    <x:col min="25" max="25" width="20" hidden="0" customWidth="1"/>
    <x:col min="26" max="26" width="36" hidden="0" customWidth="1"/>
    <x:col min="27" max="27" width="17" hidden="0" customWidth="1"/>
    <x:col min="28" max="28" width="18" hidden="0" customWidth="1"/>
    <x:col min="29" max="29" width="36" hidden="0" customWidth="1"/>
    <x:col min="30" max="30" width="17" hidden="0" customWidth="1"/>
    <x:col min="31" max="31" width="6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30" customHeight="1">
      <x:c r="A2" s="4" t="str">
        <x:v>Career assessments · editable 0–5 inputs, separate hard holds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44" customHeight="1">
      <x:c r="A5" s="13" t="str">
        <x:v>Career</x:v>
      </x:c>
      <x:c r="B5" s="13" t="str">
        <x:v>Destination key</x:v>
      </x:c>
      <x:c r="C5" s="13" t="str">
        <x:v>Destination</x:v>
      </x:c>
      <x:c r="D5" s="13" t="str">
        <x:v>Purpose gate</x:v>
      </x:c>
      <x:c r="E5" s="13" t="str">
        <x:v>Recommendation</x:v>
      </x:c>
      <x:c r="F5" s="13" t="str">
        <x:v>Purpose 0–5</x:v>
      </x:c>
      <x:c r="G5" s="13" t="str">
        <x:v>Runway 0–5</x:v>
      </x:c>
      <x:c r="H5" s="13" t="str">
        <x:v>Access 0–5</x:v>
      </x:c>
      <x:c r="I5" s="13" t="str">
        <x:v>Variety 0–5</x:v>
      </x:c>
      <x:c r="J5" s="13" t="str">
        <x:v>Suitability /100</x:v>
      </x:c>
      <x:c r="K5" s="13" t="str">
        <x:v>Terrain 0–5</x:v>
      </x:c>
      <x:c r="L5" s="13" t="str">
        <x:v>Approach 0–5</x:v>
      </x:c>
      <x:c r="M5" s="13" t="str">
        <x:v>Runway interest 0–5</x:v>
      </x:c>
      <x:c r="N5" s="13" t="str">
        <x:v>Remoteness 0–5</x:v>
      </x:c>
      <x:c r="O5" s="13" t="str">
        <x:v>Diversity 0–5</x:v>
      </x:c>
      <x:c r="P5" s="13" t="str">
        <x:v>Experience /25</x:v>
      </x:c>
      <x:c r="Q5" s="13" t="str">
        <x:v>Aircraft assessment</x:v>
      </x:c>
      <x:c r="R5" s="13" t="str">
        <x:v>Base distance NM</x:v>
      </x:c>
      <x:c r="S5" s="13" t="str">
        <x:v>Airborne min (reference type)</x:v>
      </x:c>
      <x:c r="T5" s="13" t="str">
        <x:v>Operational purpose / inference</x:v>
      </x:c>
      <x:c r="U5" s="13" t="str">
        <x:v>Research notes</x:v>
      </x:c>
      <x:c r="V5" s="13" t="str">
        <x:v>Shortlist inclusion</x:v>
      </x:c>
      <x:c r="W5" s="13" t="str">
        <x:v>Sort tie key</x:v>
      </x:c>
      <x:c r="X5" s="13" t="str">
        <x:v>Career view</x:v>
      </x:c>
      <x:c r="Y5" s="13" t="str">
        <x:v>Key view</x:v>
      </x:c>
      <x:c r="Z5" s="13" t="str">
        <x:v>Name view</x:v>
      </x:c>
      <x:c r="AA5" s="13" t="str">
        <x:v>Suitability view</x:v>
      </x:c>
      <x:c r="AB5" s="13" t="str">
        <x:v>Experience view</x:v>
      </x:c>
      <x:c r="AC5" s="13" t="str">
        <x:v>Decision view</x:v>
      </x:c>
      <x:c r="AD5" s="13" t="str">
        <x:v>Minutes view</x:v>
      </x:c>
      <x:c r="AE5" s="13" t="str">
        <x:v>Purpose view</x:v>
      </x:c>
    </x:row>
    <x:row r="6" ht="54" customHeight="1">
      <x:c r="A6" s="2" t="str">
        <x:v>Missionary</x:v>
      </x:c>
      <x:c r="B6" s="2" t="str">
        <x:v>FYOP</x:v>
      </x:c>
      <x:c r="C6" s="7" t="str">
        <x:v>Opuwa Airport</x:v>
      </x:c>
      <x:c r="D6" s="7" t="str">
        <x:v>Eligible purpose</x:v>
      </x:c>
      <x:c r="E6" s="7" t="str">
        <x:v>Priority validation</x:v>
      </x:c>
      <x:c r="F6" s="14" t="n">
        <x:v>5</x:v>
      </x:c>
      <x:c r="G6" s="14" t="n">
        <x:v>1</x:v>
      </x:c>
      <x:c r="H6" s="14" t="n">
        <x:v>2</x:v>
      </x:c>
      <x:c r="I6" s="14" t="n">
        <x:v>5</x:v>
      </x:c>
      <x:c r="J6" s="15" t="n">
        <x:f>IF(D6="Eligible purpose",20*SUMPRODUCT(F6:I6,'Aircraft and method'!$B$16:$E$16),"")</x:f>
        <x:v>76</x:v>
      </x:c>
      <x:c r="K6" s="14" t="n">
        <x:v>4</x:v>
      </x:c>
      <x:c r="L6" s="14" t="n">
        <x:v>4</x:v>
      </x:c>
      <x:c r="M6" s="14" t="n">
        <x:v>2</x:v>
      </x:c>
      <x:c r="N6" s="14" t="n">
        <x:v>4</x:v>
      </x:c>
      <x:c r="O6" s="14" t="n">
        <x:v>5</x:v>
      </x:c>
      <x:c r="P6" s="2" t="n">
        <x:f>SUM(K6:O6)</x:f>
        <x:v>19</x:v>
      </x:c>
      <x:c r="Q6" s="7" t="str">
        <x:v>C152 / C208 conditional</x:v>
      </x:c>
      <x:c r="R6" s="2" t="n">
        <x:f>IF(Catalogue!S6="","",Catalogue!S6)</x:f>
        <x:v>328</x:v>
      </x:c>
      <x:c r="S6" s="2" t="n">
        <x:f>IF(Catalogue!V6="","",Catalogue!V6)</x:f>
        <x:v>150</x:v>
      </x:c>
      <x:c r="T6" s="7" t="str">
        <x:v>Opuwo hospital, laboratory and outreach network — Clinic/school supplies and community personnel; proposed game work, not a claim of an existing aviation contract.</x:v>
      </x:c>
      <x:c r="U6" s="7" t="str">
        <x:v>Referral/outreach hub; direct Eros sector exceeds two hours in C152.</x:v>
      </x:c>
      <x:c r="V6" s="2" t="n">
        <x:f>IF(AND(D6="Eligible purpose",OR(E6="Priority validation",E6="Extended network")),1,0)</x:f>
        <x:v>1</x:v>
      </x:c>
      <x:c r="W6" s="2" t="n">
        <x:f>IF(V6=1,J6+P6/1000+(1000-ROW())/1000000,-1)</x:f>
        <x:v>76.01999400000001</x:v>
      </x:c>
      <x:c r="X6" s="2" t="str">
        <x:f>A6</x:f>
        <x:v>Missionary</x:v>
      </x:c>
      <x:c r="Y6" s="2" t="str">
        <x:f>B6</x:f>
        <x:v>FYOP</x:v>
      </x:c>
      <x:c r="Z6" s="2" t="str">
        <x:f>C6</x:f>
        <x:v>Opuwa Airport</x:v>
      </x:c>
      <x:c r="AA6" s="2" t="n">
        <x:f>J6</x:f>
        <x:v>76</x:v>
      </x:c>
      <x:c r="AB6" s="2" t="n">
        <x:f>P6</x:f>
        <x:v>19</x:v>
      </x:c>
      <x:c r="AC6" s="2" t="str">
        <x:f>E6</x:f>
        <x:v>Priority validation</x:v>
      </x:c>
      <x:c r="AD6" s="2" t="n">
        <x:f>IF(S6="","",S6)</x:f>
        <x:v>150</x:v>
      </x:c>
      <x:c r="AE6" s="2" t="str">
        <x:f>T6</x:f>
        <x:v>Opuwo hospital, laboratory and outreach network — Clinic/school supplies and community personnel; proposed game work, not a claim of an existing aviation contract.</x:v>
      </x:c>
    </x:row>
    <x:row r="7" ht="54" customHeight="1">
      <x:c r="A7" s="2" t="str">
        <x:v>Missionary</x:v>
      </x:c>
      <x:c r="B7" s="2" t="str">
        <x:v>FYSF</x:v>
      </x:c>
      <x:c r="C7" s="7" t="str">
        <x:v>Sesfontein Airport</x:v>
      </x:c>
      <x:c r="D7" s="7" t="str">
        <x:v>Eligible purpose</x:v>
      </x:c>
      <x:c r="E7" s="7" t="str">
        <x:v>Priority validation</x:v>
      </x:c>
      <x:c r="F7" s="14" t="n">
        <x:v>5</x:v>
      </x:c>
      <x:c r="G7" s="14" t="n">
        <x:v>1</x:v>
      </x:c>
      <x:c r="H7" s="14" t="n">
        <x:v>3</x:v>
      </x:c>
      <x:c r="I7" s="14" t="n">
        <x:v>5</x:v>
      </x:c>
      <x:c r="J7" s="15" t="n">
        <x:f>IF(D7="Eligible purpose",20*SUMPRODUCT(F7:I7,'Aircraft and method'!$B$16:$E$16),"")</x:f>
        <x:v>80</x:v>
      </x:c>
      <x:c r="K7" s="14" t="n">
        <x:v>5</x:v>
      </x:c>
      <x:c r="L7" s="14" t="n">
        <x:v>4</x:v>
      </x:c>
      <x:c r="M7" s="14" t="n">
        <x:v>3</x:v>
      </x:c>
      <x:c r="N7" s="14" t="n">
        <x:v>5</x:v>
      </x:c>
      <x:c r="O7" s="14" t="n">
        <x:v>5</x:v>
      </x:c>
      <x:c r="P7" s="2" t="n">
        <x:f>SUM(K7:O7)</x:f>
        <x:v>22</x:v>
      </x:c>
      <x:c r="Q7" s="7" t="str">
        <x:v>C152 / C208 conditional</x:v>
      </x:c>
      <x:c r="R7" s="2" t="n">
        <x:f>IF(Catalogue!S7="","",Catalogue!S7)</x:f>
        <x:v>285.1</x:v>
      </x:c>
      <x:c r="S7" s="2" t="n">
        <x:f>IF(Catalogue!V7="","",Catalogue!V7)</x:f>
        <x:v>132</x:v>
      </x:c>
      <x:c r="T7" s="7" t="str">
        <x:v>Sesfontein health centre and surrounding communities — Clinic/school supplies and community personnel; proposed game work, not a claim of an existing aviation contract.</x:v>
      </x:c>
      <x:c r="U7" s="7" t="str">
        <x:v>High-value purpose; absent identifier in recorded scan; no scenery approval.</x:v>
      </x:c>
      <x:c r="V7" s="2" t="n">
        <x:f>IF(AND(D7="Eligible purpose",OR(E7="Priority validation",E7="Extended network")),1,0)</x:f>
        <x:v>1</x:v>
      </x:c>
      <x:c r="W7" s="2" t="n">
        <x:f>IF(V7=1,J7+P7/1000+(1000-ROW())/1000000,-1)</x:f>
        <x:v>80.022993</x:v>
      </x:c>
      <x:c r="X7" s="2" t="str">
        <x:f>A7</x:f>
        <x:v>Missionary</x:v>
      </x:c>
      <x:c r="Y7" s="2" t="str">
        <x:f>B7</x:f>
        <x:v>FYSF</x:v>
      </x:c>
      <x:c r="Z7" s="2" t="str">
        <x:f>C7</x:f>
        <x:v>Sesfontein Airport</x:v>
      </x:c>
      <x:c r="AA7" s="2" t="n">
        <x:f>J7</x:f>
        <x:v>80</x:v>
      </x:c>
      <x:c r="AB7" s="2" t="n">
        <x:f>P7</x:f>
        <x:v>22</x:v>
      </x:c>
      <x:c r="AC7" s="2" t="str">
        <x:f>E7</x:f>
        <x:v>Priority validation</x:v>
      </x:c>
      <x:c r="AD7" s="2" t="n">
        <x:f>IF(S7="","",S7)</x:f>
        <x:v>132</x:v>
      </x:c>
      <x:c r="AE7" s="2" t="str">
        <x:f>T7</x:f>
        <x:v>Sesfontein health centre and surrounding communities — Clinic/school supplies and community personnel; proposed game work, not a claim of an existing aviation contract.</x:v>
      </x:c>
    </x:row>
    <x:row r="8" ht="54" customHeight="1">
      <x:c r="A8" s="2" t="str">
        <x:v>Missionary</x:v>
      </x:c>
      <x:c r="B8" s="2" t="str">
        <x:v>FYEF</x:v>
      </x:c>
      <x:c r="C8" s="7" t="str">
        <x:v>Epupa Falls Airstrip.</x:v>
      </x:c>
      <x:c r="D8" s="7" t="str">
        <x:v>Eligible purpose</x:v>
      </x:c>
      <x:c r="E8" s="7" t="str">
        <x:v>Extended network</x:v>
      </x:c>
      <x:c r="F8" s="14" t="n">
        <x:v>5</x:v>
      </x:c>
      <x:c r="G8" s="14" t="n">
        <x:v>1</x:v>
      </x:c>
      <x:c r="H8" s="14" t="n">
        <x:v>1</x:v>
      </x:c>
      <x:c r="I8" s="14" t="n">
        <x:v>4</x:v>
      </x:c>
      <x:c r="J8" s="15" t="n">
        <x:f>IF(D8="Eligible purpose",20*SUMPRODUCT(F8:I8,'Aircraft and method'!$B$16:$E$16),"")</x:f>
        <x:v>67</x:v>
      </x:c>
      <x:c r="K8" s="14" t="n">
        <x:v>5</x:v>
      </x:c>
      <x:c r="L8" s="14" t="n">
        <x:v>5</x:v>
      </x:c>
      <x:c r="M8" s="14" t="n">
        <x:v>3</x:v>
      </x:c>
      <x:c r="N8" s="14" t="n">
        <x:v>5</x:v>
      </x:c>
      <x:c r="O8" s="14" t="n">
        <x:v>5</x:v>
      </x:c>
      <x:c r="P8" s="2" t="n">
        <x:f>SUM(K8:O8)</x:f>
        <x:v>23</x:v>
      </x:c>
      <x:c r="Q8" s="7" t="str">
        <x:v>C152 / C208 conditional</x:v>
      </x:c>
      <x:c r="R8" s="2" t="n">
        <x:f>IF(Catalogue!S8="","",Catalogue!S8)</x:f>
        <x:v>399.7</x:v>
      </x:c>
      <x:c r="S8" s="2" t="n">
        <x:f>IF(Catalogue!V8="","",Catalogue!V8)</x:f>
        <x:v>181</x:v>
      </x:c>
      <x:c r="T8" s="7" t="str">
        <x:v>Epupa Clinic and Kunene communities — Clinic/school supplies and community personnel; proposed game work, not a claim of an existing aviation contract.</x:v>
      </x:c>
      <x:c r="U8" s="7" t="str">
        <x:v>Clinic association credible; ground transfer required; long from Eros.</x:v>
      </x:c>
      <x:c r="V8" s="2" t="n">
        <x:f>IF(AND(D8="Eligible purpose",OR(E8="Priority validation",E8="Extended network")),1,0)</x:f>
        <x:v>1</x:v>
      </x:c>
      <x:c r="W8" s="2" t="n">
        <x:f>IF(V8=1,J8+P8/1000+(1000-ROW())/1000000,-1)</x:f>
        <x:v>67.02399199999999</x:v>
      </x:c>
      <x:c r="X8" s="2" t="str">
        <x:f>A8</x:f>
        <x:v>Missionary</x:v>
      </x:c>
      <x:c r="Y8" s="2" t="str">
        <x:f>B8</x:f>
        <x:v>FYEF</x:v>
      </x:c>
      <x:c r="Z8" s="2" t="str">
        <x:f>C8</x:f>
        <x:v>Epupa Falls Airstrip.</x:v>
      </x:c>
      <x:c r="AA8" s="2" t="n">
        <x:f>J8</x:f>
        <x:v>67</x:v>
      </x:c>
      <x:c r="AB8" s="2" t="n">
        <x:f>P8</x:f>
        <x:v>23</x:v>
      </x:c>
      <x:c r="AC8" s="2" t="str">
        <x:f>E8</x:f>
        <x:v>Extended network</x:v>
      </x:c>
      <x:c r="AD8" s="2" t="n">
        <x:f>IF(S8="","",S8)</x:f>
        <x:v>181</x:v>
      </x:c>
      <x:c r="AE8" s="2" t="str">
        <x:f>T8</x:f>
        <x:v>Epupa Clinic and Kunene communities — Clinic/school supplies and community personnel; proposed game work, not a claim of an existing aviation contract.</x:v>
      </x:c>
    </x:row>
    <x:row r="9" ht="54" customHeight="1">
      <x:c r="A9" s="2" t="str">
        <x:v>Missionary</x:v>
      </x:c>
      <x:c r="B9" s="2" t="str">
        <x:v>NA-0160</x:v>
      </x:c>
      <x:c r="C9" s="7" t="str">
        <x:v>Okangwati Airport</x:v>
      </x:c>
      <x:c r="D9" s="7" t="str">
        <x:v>Eligible purpose</x:v>
      </x:c>
      <x:c r="E9" s="7" t="str">
        <x:v>Hold: identifier/location conflict</x:v>
      </x:c>
      <x:c r="F9" s="14" t="n">
        <x:v>5</x:v>
      </x:c>
      <x:c r="G9" s="14" t="n">
        <x:v>1</x:v>
      </x:c>
      <x:c r="H9" s="14" t="n">
        <x:v>1</x:v>
      </x:c>
      <x:c r="I9" s="14" t="n">
        <x:v>4</x:v>
      </x:c>
      <x:c r="J9" s="15" t="n">
        <x:f>IF(D9="Eligible purpose",20*SUMPRODUCT(F9:I9,'Aircraft and method'!$B$16:$E$16),"")</x:f>
        <x:v>67</x:v>
      </x:c>
      <x:c r="K9" s="14" t="n">
        <x:v>5</x:v>
      </x:c>
      <x:c r="L9" s="14" t="n">
        <x:v>4</x:v>
      </x:c>
      <x:c r="M9" s="14" t="n">
        <x:v>3</x:v>
      </x:c>
      <x:c r="N9" s="14" t="n">
        <x:v>5</x:v>
      </x:c>
      <x:c r="O9" s="14" t="n">
        <x:v>5</x:v>
      </x:c>
      <x:c r="P9" s="2" t="n">
        <x:f>SUM(K9:O9)</x:f>
        <x:v>22</x:v>
      </x:c>
      <x:c r="Q9" s="7" t="str">
        <x:v>C152 / C208 conditional</x:v>
      </x:c>
      <x:c r="R9" s="2" t="n">
        <x:f>IF(Catalogue!S9="","",Catalogue!S9)</x:f>
        <x:v>377</x:v>
      </x:c>
      <x:c r="S9" s="2" t="n">
        <x:f>IF(Catalogue!V9="","",Catalogue!V9)</x:f>
        <x:v>171</x:v>
      </x:c>
      <x:c r="T9" s="7" t="str">
        <x:v>Okangwati health centre and combined school — Clinic/school supplies and community personnel; proposed game work, not a claim of an existing aviation contract.</x:v>
      </x:c>
      <x:c r="U9" s="7" t="str">
        <x:v>App FYKW resolves roughly 590 NM east of this settlement. EIA describes military strip. NIP clinic latitude conflicts with settlement; do not use it as airport coordinate.</x:v>
      </x:c>
      <x:c r="V9" s="2" t="n">
        <x:f>IF(AND(D9="Eligible purpose",OR(E9="Priority validation",E9="Extended network")),1,0)</x:f>
        <x:v>0</x:v>
      </x:c>
      <x:c r="W9" s="2" t="n">
        <x:f>IF(V9=1,J9+P9/1000+(1000-ROW())/1000000,-1)</x:f>
        <x:v>-1</x:v>
      </x:c>
      <x:c r="X9" s="2" t="str">
        <x:f>A9</x:f>
        <x:v>Missionary</x:v>
      </x:c>
      <x:c r="Y9" s="2" t="str">
        <x:f>B9</x:f>
        <x:v>NA-0160</x:v>
      </x:c>
      <x:c r="Z9" s="2" t="str">
        <x:f>C9</x:f>
        <x:v>Okangwati Airport</x:v>
      </x:c>
      <x:c r="AA9" s="2" t="n">
        <x:f>J9</x:f>
        <x:v>67</x:v>
      </x:c>
      <x:c r="AB9" s="2" t="n">
        <x:f>P9</x:f>
        <x:v>22</x:v>
      </x:c>
      <x:c r="AC9" s="2" t="str">
        <x:f>E9</x:f>
        <x:v>Hold: identifier/location conflict</x:v>
      </x:c>
      <x:c r="AD9" s="2" t="n">
        <x:f>IF(S9="","",S9)</x:f>
        <x:v>171</x:v>
      </x:c>
      <x:c r="AE9" s="2" t="str">
        <x:f>T9</x:f>
        <x:v>Okangwati health centre and combined school — Clinic/school supplies and community personnel; proposed game work, not a claim of an existing aviation contract.</x:v>
      </x:c>
    </x:row>
    <x:row r="10" ht="54" customHeight="1">
      <x:c r="A10" s="2" t="str">
        <x:v>Missionary</x:v>
      </x:c>
      <x:c r="B10" s="2" t="str">
        <x:v>NA-0169</x:v>
      </x:c>
      <x:c r="C10" s="7" t="str">
        <x:v>Ehomba Airport</x:v>
      </x:c>
      <x:c r="D10" s="7" t="str">
        <x:v>Eligible purpose</x:v>
      </x:c>
      <x:c r="E10" s="7" t="str">
        <x:v>Extended network</x:v>
      </x:c>
      <x:c r="F10" s="14" t="n">
        <x:v>5</x:v>
      </x:c>
      <x:c r="G10" s="14" t="n">
        <x:v>1</x:v>
      </x:c>
      <x:c r="H10" s="14" t="n">
        <x:v>1</x:v>
      </x:c>
      <x:c r="I10" s="14" t="n">
        <x:v>4</x:v>
      </x:c>
      <x:c r="J10" s="15" t="n">
        <x:f>IF(D10="Eligible purpose",20*SUMPRODUCT(F10:I10,'Aircraft and method'!$B$16:$E$16),"")</x:f>
        <x:v>67</x:v>
      </x:c>
      <x:c r="K10" s="14" t="n">
        <x:v>4</x:v>
      </x:c>
      <x:c r="L10" s="14" t="n">
        <x:v>4</x:v>
      </x:c>
      <x:c r="M10" s="14" t="n">
        <x:v>3</x:v>
      </x:c>
      <x:c r="N10" s="14" t="n">
        <x:v>5</x:v>
      </x:c>
      <x:c r="O10" s="14" t="n">
        <x:v>5</x:v>
      </x:c>
      <x:c r="P10" s="2" t="n">
        <x:f>SUM(K10:O10)</x:f>
        <x:v>21</x:v>
      </x:c>
      <x:c r="Q10" s="7" t="str">
        <x:v>C152 / C208 conditional</x:v>
      </x:c>
      <x:c r="R10" s="2" t="n">
        <x:f>IF(Catalogue!S10="","",Catalogue!S10)</x:f>
        <x:v>357.5</x:v>
      </x:c>
      <x:c r="S10" s="2" t="n">
        <x:f>IF(Catalogue!V10="","",Catalogue!V10)</x:f>
        <x:v>163</x:v>
      </x:c>
      <x:c r="T10" s="7" t="str">
        <x:v>Ehomba Combined School and feeder schools — Clinic/school supplies and community personnel; proposed game work, not a claim of an existing aviation contract.</x:v>
      </x:c>
      <x:c r="U10" s="7" t="str">
        <x:v>Strong education purpose; identifier is a database key; no runway evidence or MSFS lookup.</x:v>
      </x:c>
      <x:c r="V10" s="2" t="n">
        <x:f>IF(AND(D10="Eligible purpose",OR(E10="Priority validation",E10="Extended network")),1,0)</x:f>
        <x:v>1</x:v>
      </x:c>
      <x:c r="W10" s="2" t="n">
        <x:f>IF(V10=1,J10+P10/1000+(1000-ROW())/1000000,-1)</x:f>
        <x:v>67.02199</x:v>
      </x:c>
      <x:c r="X10" s="2" t="str">
        <x:f>A10</x:f>
        <x:v>Missionary</x:v>
      </x:c>
      <x:c r="Y10" s="2" t="str">
        <x:f>B10</x:f>
        <x:v>NA-0169</x:v>
      </x:c>
      <x:c r="Z10" s="2" t="str">
        <x:f>C10</x:f>
        <x:v>Ehomba Airport</x:v>
      </x:c>
      <x:c r="AA10" s="2" t="n">
        <x:f>J10</x:f>
        <x:v>67</x:v>
      </x:c>
      <x:c r="AB10" s="2" t="n">
        <x:f>P10</x:f>
        <x:v>21</x:v>
      </x:c>
      <x:c r="AC10" s="2" t="str">
        <x:f>E10</x:f>
        <x:v>Extended network</x:v>
      </x:c>
      <x:c r="AD10" s="2" t="n">
        <x:f>IF(S10="","",S10)</x:f>
        <x:v>163</x:v>
      </x:c>
      <x:c r="AE10" s="2" t="str">
        <x:f>T10</x:f>
        <x:v>Ehomba Combined School and feeder schools — Clinic/school supplies and community personnel; proposed game work, not a claim of an existing aviation contract.</x:v>
      </x:c>
    </x:row>
    <x:row r="11" ht="54" customHeight="1">
      <x:c r="A11" s="2" t="str">
        <x:v>Missionary</x:v>
      </x:c>
      <x:c r="B11" s="2" t="str">
        <x:v>FYRC</x:v>
      </x:c>
      <x:c r="C11" s="7" t="str">
        <x:v>Ruacana Airport</x:v>
      </x:c>
      <x:c r="D11" s="7" t="str">
        <x:v>Ineligible purpose</x:v>
      </x:c>
      <x:c r="E11" s="7" t="str">
        <x:v>Research hold</x:v>
      </x:c>
      <x:c r="F11" s="14"/>
      <x:c r="G11" s="14"/>
      <x:c r="H11" s="14"/>
      <x:c r="I11" s="14"/>
      <x:c r="J11" s="15" t="str">
        <x:f>IF(D11="Eligible purpose",20*SUMPRODUCT(F11:I11,'Aircraft and method'!$B$16:$E$16),"")</x:f>
      </x:c>
      <x:c r="K11" s="14" t="n">
        <x:v>4</x:v>
      </x:c>
      <x:c r="L11" s="14" t="n">
        <x:v>3</x:v>
      </x:c>
      <x:c r="M11" s="14" t="n">
        <x:v>1</x:v>
      </x:c>
      <x:c r="N11" s="14" t="n">
        <x:v>3</x:v>
      </x:c>
      <x:c r="O11" s="14" t="n">
        <x:v>4</x:v>
      </x:c>
      <x:c r="P11" s="2" t="n">
        <x:f>SUM(K11:O11)</x:f>
        <x:v>15</x:v>
      </x:c>
      <x:c r="Q11" s="7" t="str">
        <x:v>C152 / C208 conditional</x:v>
      </x:c>
      <x:c r="R11" s="2" t="n">
        <x:f>IF(Catalogue!S11="","",Catalogue!S11)</x:f>
        <x:v>346.7</x:v>
      </x:c>
      <x:c r="S11" s="2" t="n">
        <x:f>IF(Catalogue!V11="","",Catalogue!V11)</x:f>
        <x:v>158</x:v>
      </x:c>
      <x:c r="T11" s="7" t="str">
        <x:v>Ruacana community service network — No specific community service recipient established; purpose gate not passed.</x:v>
      </x:c>
      <x:c r="U11" s="7" t="str">
        <x:v>Community association needs a named service recipient and verified ground transfer; reserve research candidate rather than generic medical demand.</x:v>
      </x:c>
      <x:c r="V11" s="2" t="n">
        <x:f>IF(AND(D11="Eligible purpose",OR(E11="Priority validation",E11="Extended network")),1,0)</x:f>
        <x:v>0</x:v>
      </x:c>
      <x:c r="W11" s="2" t="n">
        <x:f>IF(V11=1,J11+P11/1000+(1000-ROW())/1000000,-1)</x:f>
        <x:v>-1</x:v>
      </x:c>
      <x:c r="X11" s="2" t="str">
        <x:f>A11</x:f>
        <x:v>Missionary</x:v>
      </x:c>
      <x:c r="Y11" s="2" t="str">
        <x:f>B11</x:f>
        <x:v>FYRC</x:v>
      </x:c>
      <x:c r="Z11" s="2" t="str">
        <x:f>C11</x:f>
        <x:v>Ruacana Airport</x:v>
      </x:c>
      <x:c r="AA11" s="2" t="str">
        <x:f>J11</x:f>
      </x:c>
      <x:c r="AB11" s="2" t="n">
        <x:f>P11</x:f>
        <x:v>15</x:v>
      </x:c>
      <x:c r="AC11" s="2" t="str">
        <x:f>E11</x:f>
        <x:v>Research hold</x:v>
      </x:c>
      <x:c r="AD11" s="2" t="n">
        <x:f>IF(S11="","",S11)</x:f>
        <x:v>158</x:v>
      </x:c>
      <x:c r="AE11" s="2" t="str">
        <x:f>T11</x:f>
        <x:v>Ruacana community service network — No specific community service recipient established; purpose gate not passed.</x:v>
      </x:c>
    </x:row>
    <x:row r="12" ht="54" customHeight="1">
      <x:c r="A12" s="2" t="str">
        <x:v>Missionary</x:v>
      </x:c>
      <x:c r="B12" s="2" t="str">
        <x:v>FYTK</x:v>
      </x:c>
      <x:c r="C12" s="7" t="str">
        <x:v>Tsumkwe Airport</x:v>
      </x:c>
      <x:c r="D12" s="7" t="str">
        <x:v>Eligible purpose</x:v>
      </x:c>
      <x:c r="E12" s="7" t="str">
        <x:v>Priority validation</x:v>
      </x:c>
      <x:c r="F12" s="14" t="n">
        <x:v>5</x:v>
      </x:c>
      <x:c r="G12" s="14" t="n">
        <x:v>1</x:v>
      </x:c>
      <x:c r="H12" s="14" t="n">
        <x:v>2</x:v>
      </x:c>
      <x:c r="I12" s="14" t="n">
        <x:v>5</x:v>
      </x:c>
      <x:c r="J12" s="15" t="n">
        <x:f>IF(D12="Eligible purpose",20*SUMPRODUCT(F12:I12,'Aircraft and method'!$B$16:$E$16),"")</x:f>
        <x:v>76</x:v>
      </x:c>
      <x:c r="K12" s="14" t="n">
        <x:v>4</x:v>
      </x:c>
      <x:c r="L12" s="14" t="n">
        <x:v>3</x:v>
      </x:c>
      <x:c r="M12" s="14" t="n">
        <x:v>3</x:v>
      </x:c>
      <x:c r="N12" s="14" t="n">
        <x:v>5</x:v>
      </x:c>
      <x:c r="O12" s="14" t="n">
        <x:v>5</x:v>
      </x:c>
      <x:c r="P12" s="2" t="n">
        <x:f>SUM(K12:O12)</x:f>
        <x:v>20</x:v>
      </x:c>
      <x:c r="Q12" s="7" t="str">
        <x:v>C152 / C208 conditional</x:v>
      </x:c>
      <x:c r="R12" s="2" t="n">
        <x:f>IF(Catalogue!S12="","",Catalogue!S12)</x:f>
        <x:v>261.9</x:v>
      </x:c>
      <x:c r="S12" s="2" t="n">
        <x:f>IF(Catalogue!V12="","",Catalogue!V12)</x:f>
        <x:v>122</x:v>
      </x:c>
      <x:c r="T12" s="7" t="str">
        <x:v>Tsumkwe / Nyae Nyae community and conservancy — Clinic/school supplies and community personnel; proposed game work, not a claim of an existing aviation contract.</x:v>
      </x:c>
      <x:c r="U12" s="7" t="str">
        <x:v>Teacher, community liaison and supplies credible; medical evacuation equipment not established.</x:v>
      </x:c>
      <x:c r="V12" s="2" t="n">
        <x:f>IF(AND(D12="Eligible purpose",OR(E12="Priority validation",E12="Extended network")),1,0)</x:f>
        <x:v>1</x:v>
      </x:c>
      <x:c r="W12" s="2" t="n">
        <x:f>IF(V12=1,J12+P12/1000+(1000-ROW())/1000000,-1)</x:f>
        <x:v>76.020988</x:v>
      </x:c>
      <x:c r="X12" s="2" t="str">
        <x:f>A12</x:f>
        <x:v>Missionary</x:v>
      </x:c>
      <x:c r="Y12" s="2" t="str">
        <x:f>B12</x:f>
        <x:v>FYTK</x:v>
      </x:c>
      <x:c r="Z12" s="2" t="str">
        <x:f>C12</x:f>
        <x:v>Tsumkwe Airport</x:v>
      </x:c>
      <x:c r="AA12" s="2" t="n">
        <x:f>J12</x:f>
        <x:v>76</x:v>
      </x:c>
      <x:c r="AB12" s="2" t="n">
        <x:f>P12</x:f>
        <x:v>20</x:v>
      </x:c>
      <x:c r="AC12" s="2" t="str">
        <x:f>E12</x:f>
        <x:v>Priority validation</x:v>
      </x:c>
      <x:c r="AD12" s="2" t="n">
        <x:f>IF(S12="","",S12)</x:f>
        <x:v>122</x:v>
      </x:c>
      <x:c r="AE12" s="2" t="str">
        <x:f>T12</x:f>
        <x:v>Tsumkwe / Nyae Nyae community and conservancy — Clinic/school supplies and community personnel; proposed game work, not a claim of an existing aviation contract.</x:v>
      </x:c>
    </x:row>
    <x:row r="13" ht="54" customHeight="1">
      <x:c r="A13" s="2" t="str">
        <x:v>Missionary</x:v>
      </x:c>
      <x:c r="B13" s="2" t="str">
        <x:v>FYOE</x:v>
      </x:c>
      <x:c r="C13" s="7" t="str">
        <x:v>Omega Airport</x:v>
      </x:c>
      <x:c r="D13" s="7" t="str">
        <x:v>Eligible purpose</x:v>
      </x:c>
      <x:c r="E13" s="7" t="str">
        <x:v>Extended network</x:v>
      </x:c>
      <x:c r="F13" s="14" t="n">
        <x:v>5</x:v>
      </x:c>
      <x:c r="G13" s="14" t="n">
        <x:v>1</x:v>
      </x:c>
      <x:c r="H13" s="14" t="n">
        <x:v>1</x:v>
      </x:c>
      <x:c r="I13" s="14" t="n">
        <x:v>4</x:v>
      </x:c>
      <x:c r="J13" s="15" t="n">
        <x:f>IF(D13="Eligible purpose",20*SUMPRODUCT(F13:I13,'Aircraft and method'!$B$16:$E$16),"")</x:f>
        <x:v>67</x:v>
      </x:c>
      <x:c r="K13" s="14" t="n">
        <x:v>4</x:v>
      </x:c>
      <x:c r="L13" s="14" t="n">
        <x:v>3</x:v>
      </x:c>
      <x:c r="M13" s="14" t="n">
        <x:v>3</x:v>
      </x:c>
      <x:c r="N13" s="14" t="n">
        <x:v>5</x:v>
      </x:c>
      <x:c r="O13" s="14" t="n">
        <x:v>5</x:v>
      </x:c>
      <x:c r="P13" s="2" t="n">
        <x:f>SUM(K13:O13)</x:f>
        <x:v>20</x:v>
      </x:c>
      <x:c r="Q13" s="7" t="str">
        <x:v>C152 / C208 conditional</x:v>
      </x:c>
      <x:c r="R13" s="2" t="n">
        <x:f>IF(Catalogue!S13="","",Catalogue!S13)</x:f>
        <x:v>397.7</x:v>
      </x:c>
      <x:c r="S13" s="2" t="n">
        <x:f>IF(Catalogue!V13="","",Catalogue!V13)</x:f>
        <x:v>180</x:v>
      </x:c>
      <x:c r="T13" s="7" t="str">
        <x:v>Omega clinic and settlement — Clinic/school supplies and community personnel; proposed game work, not a claim of an existing aviation contract.</x:v>
      </x:c>
      <x:c r="U13" s="7" t="str">
        <x:v>Credible clinic endpoint but well beyond two-hour direct starter envelope; retain as extended research.</x:v>
      </x:c>
      <x:c r="V13" s="2" t="n">
        <x:f>IF(AND(D13="Eligible purpose",OR(E13="Priority validation",E13="Extended network")),1,0)</x:f>
        <x:v>1</x:v>
      </x:c>
      <x:c r="W13" s="2" t="n">
        <x:f>IF(V13=1,J13+P13/1000+(1000-ROW())/1000000,-1)</x:f>
        <x:v>67.02098699999999</x:v>
      </x:c>
      <x:c r="X13" s="2" t="str">
        <x:f>A13</x:f>
        <x:v>Missionary</x:v>
      </x:c>
      <x:c r="Y13" s="2" t="str">
        <x:f>B13</x:f>
        <x:v>FYOE</x:v>
      </x:c>
      <x:c r="Z13" s="2" t="str">
        <x:f>C13</x:f>
        <x:v>Omega Airport</x:v>
      </x:c>
      <x:c r="AA13" s="2" t="n">
        <x:f>J13</x:f>
        <x:v>67</x:v>
      </x:c>
      <x:c r="AB13" s="2" t="n">
        <x:f>P13</x:f>
        <x:v>20</x:v>
      </x:c>
      <x:c r="AC13" s="2" t="str">
        <x:f>E13</x:f>
        <x:v>Extended network</x:v>
      </x:c>
      <x:c r="AD13" s="2" t="n">
        <x:f>IF(S13="","",S13)</x:f>
        <x:v>180</x:v>
      </x:c>
      <x:c r="AE13" s="2" t="str">
        <x:f>T13</x:f>
        <x:v>Omega clinic and settlement — Clinic/school supplies and community personnel; proposed game work, not a claim of an existing aviation contract.</x:v>
      </x:c>
    </x:row>
    <x:row r="14" ht="68" customHeight="1">
      <x:c r="A14" s="2" t="str">
        <x:v>Missionary</x:v>
      </x:c>
      <x:c r="B14" s="2" t="str">
        <x:v>FYNP</x:v>
      </x:c>
      <x:c r="C14" s="7" t="str">
        <x:v>Nepara clinic / Nkurenkuru health network</x:v>
      </x:c>
      <x:c r="D14" s="7" t="str">
        <x:v>Eligible purpose</x:v>
      </x:c>
      <x:c r="E14" s="7" t="str">
        <x:v>Research hold</x:v>
      </x:c>
      <x:c r="F14" s="14" t="n">
        <x:v>5</x:v>
      </x:c>
      <x:c r="G14" s="14" t="n">
        <x:v>1</x:v>
      </x:c>
      <x:c r="H14" s="14" t="n">
        <x:v>1</x:v>
      </x:c>
      <x:c r="I14" s="14" t="n">
        <x:v>4</x:v>
      </x:c>
      <x:c r="J14" s="15" t="n">
        <x:f>IF(D14="Eligible purpose",20*SUMPRODUCT(F14:I14,'Aircraft and method'!$B$16:$E$16),"")</x:f>
        <x:v>67</x:v>
      </x:c>
      <x:c r="K14" s="14" t="n">
        <x:v>4</x:v>
      </x:c>
      <x:c r="L14" s="14" t="n">
        <x:v>3</x:v>
      </x:c>
      <x:c r="M14" s="14" t="n">
        <x:v>3</x:v>
      </x:c>
      <x:c r="N14" s="14" t="n">
        <x:v>4</x:v>
      </x:c>
      <x:c r="O14" s="14" t="n">
        <x:v>4</x:v>
      </x:c>
      <x:c r="P14" s="2" t="n">
        <x:f>SUM(K14:O14)</x:f>
        <x:v>18</x:v>
      </x:c>
      <x:c r="Q14" s="7" t="str">
        <x:v>C152 / C208 conditional</x:v>
      </x:c>
      <x:c r="R14" s="2" t="n">
        <x:f>IF(Catalogue!S14="","",Catalogue!S14)</x:f>
        <x:v>300.5</x:v>
      </x:c>
      <x:c r="S14" s="2" t="n">
        <x:f>IF(Catalogue!V14="","",Catalogue!V14)</x:f>
        <x:v>138</x:v>
      </x:c>
      <x:c r="T14" s="7" t="str">
        <x:v>Nepara clinic / Nkurenkuru health network — Clinic/school supplies and community personnel; proposed game work, not a claim of an existing aviation contract.</x:v>
      </x:c>
      <x:c r="U14" s="7" t="str">
        <x:v>Long Eros leg. Field absent in current OurAirports snapshot; X-Plane has a historical FYNP datum, not real-world or MSFS acceptance. Closure lead needs investigation; no contemporary runway proof.</x:v>
      </x:c>
      <x:c r="V14" s="2" t="n">
        <x:f>IF(AND(D14="Eligible purpose",OR(E14="Priority validation",E14="Extended network")),1,0)</x:f>
        <x:v>0</x:v>
      </x:c>
      <x:c r="W14" s="2" t="n">
        <x:f>IF(V14=1,J14+P14/1000+(1000-ROW())/1000000,-1)</x:f>
        <x:v>-1</x:v>
      </x:c>
      <x:c r="X14" s="2" t="str">
        <x:f>A14</x:f>
        <x:v>Missionary</x:v>
      </x:c>
      <x:c r="Y14" s="2" t="str">
        <x:f>B14</x:f>
        <x:v>FYNP</x:v>
      </x:c>
      <x:c r="Z14" s="2" t="str">
        <x:f>C14</x:f>
        <x:v>Nepara clinic / Nkurenkuru health network</x:v>
      </x:c>
      <x:c r="AA14" s="2" t="n">
        <x:f>J14</x:f>
        <x:v>67</x:v>
      </x:c>
      <x:c r="AB14" s="2" t="n">
        <x:f>P14</x:f>
        <x:v>18</x:v>
      </x:c>
      <x:c r="AC14" s="2" t="str">
        <x:f>E14</x:f>
        <x:v>Research hold</x:v>
      </x:c>
      <x:c r="AD14" s="2" t="n">
        <x:f>IF(S14="","",S14)</x:f>
        <x:v>138</x:v>
      </x:c>
      <x:c r="AE14" s="2" t="str">
        <x:f>T14</x:f>
        <x:v>Nepara clinic / Nkurenkuru health network — Clinic/school supplies and community personnel; proposed game work, not a claim of an existing aviation contract.</x:v>
      </x:c>
    </x:row>
    <x:row r="15" ht="54" customHeight="1">
      <x:c r="A15" s="2" t="str">
        <x:v>Missionary</x:v>
      </x:c>
      <x:c r="B15" s="2" t="str">
        <x:v>FYRU</x:v>
      </x:c>
      <x:c r="C15" s="7" t="str">
        <x:v>Rundu Airport</x:v>
      </x:c>
      <x:c r="D15" s="7" t="str">
        <x:v>Eligible purpose</x:v>
      </x:c>
      <x:c r="E15" s="7" t="str">
        <x:v>Extended network</x:v>
      </x:c>
      <x:c r="F15" s="14" t="n">
        <x:v>4</x:v>
      </x:c>
      <x:c r="G15" s="14" t="n">
        <x:v>4</x:v>
      </x:c>
      <x:c r="H15" s="14" t="n">
        <x:v>1</x:v>
      </x:c>
      <x:c r="I15" s="14" t="n">
        <x:v>5</x:v>
      </x:c>
      <x:c r="J15" s="15" t="n">
        <x:f>IF(D15="Eligible purpose",20*SUMPRODUCT(F15:I15,'Aircraft and method'!$B$16:$E$16),"")</x:f>
        <x:v>73</x:v>
      </x:c>
      <x:c r="K15" s="14" t="n">
        <x:v>4</x:v>
      </x:c>
      <x:c r="L15" s="14" t="n">
        <x:v>3</x:v>
      </x:c>
      <x:c r="M15" s="14" t="n">
        <x:v>1</x:v>
      </x:c>
      <x:c r="N15" s="14" t="n">
        <x:v>2</x:v>
      </x:c>
      <x:c r="O15" s="14" t="n">
        <x:v>4</x:v>
      </x:c>
      <x:c r="P15" s="2" t="n">
        <x:f>SUM(K15:O15)</x:f>
        <x:v>14</x:v>
      </x:c>
      <x:c r="Q15" s="7" t="str">
        <x:v>C152 / C208 conditional</x:v>
      </x:c>
      <x:c r="R15" s="2" t="n">
        <x:f>IF(Catalogue!S15="","",Catalogue!S15)</x:f>
        <x:v>316.2</x:v>
      </x:c>
      <x:c r="S15" s="2" t="n">
        <x:f>IF(Catalogue!V15="","",Catalogue!V15)</x:f>
        <x:v>145</x:v>
      </x:c>
      <x:c r="T15" s="7" t="str">
        <x:v>Rundu referral hospital and regional services — Clinic/school supplies and community personnel; proposed game work, not a claim of an existing aviation contract.</x:v>
      </x:c>
      <x:c r="U15" s="7" t="str">
        <x:v>Referral hub rather than small village; extended C208 sector.</x:v>
      </x:c>
      <x:c r="V15" s="2" t="n">
        <x:f>IF(AND(D15="Eligible purpose",OR(E15="Priority validation",E15="Extended network")),1,0)</x:f>
        <x:v>1</x:v>
      </x:c>
      <x:c r="W15" s="2" t="n">
        <x:f>IF(V15=1,J15+P15/1000+(1000-ROW())/1000000,-1)</x:f>
        <x:v>73.014985</x:v>
      </x:c>
      <x:c r="X15" s="2" t="str">
        <x:f>A15</x:f>
        <x:v>Missionary</x:v>
      </x:c>
      <x:c r="Y15" s="2" t="str">
        <x:f>B15</x:f>
        <x:v>FYRU</x:v>
      </x:c>
      <x:c r="Z15" s="2" t="str">
        <x:f>C15</x:f>
        <x:v>Rundu Airport</x:v>
      </x:c>
      <x:c r="AA15" s="2" t="n">
        <x:f>J15</x:f>
        <x:v>73</x:v>
      </x:c>
      <x:c r="AB15" s="2" t="n">
        <x:f>P15</x:f>
        <x:v>14</x:v>
      </x:c>
      <x:c r="AC15" s="2" t="str">
        <x:f>E15</x:f>
        <x:v>Extended network</x:v>
      </x:c>
      <x:c r="AD15" s="2" t="n">
        <x:f>IF(S15="","",S15)</x:f>
        <x:v>145</x:v>
      </x:c>
      <x:c r="AE15" s="2" t="str">
        <x:f>T15</x:f>
        <x:v>Rundu referral hospital and regional services — Clinic/school supplies and community personnel; proposed game work, not a claim of an existing aviation contract.</x:v>
      </x:c>
    </x:row>
    <x:row r="16" ht="54" customHeight="1">
      <x:c r="A16" s="2" t="str">
        <x:v>Missionary</x:v>
      </x:c>
      <x:c r="B16" s="2" t="str">
        <x:v>FYEN</x:v>
      </x:c>
      <x:c r="C16" s="7" t="str">
        <x:v>Eenhana Airport</x:v>
      </x:c>
      <x:c r="D16" s="7" t="str">
        <x:v>Eligible purpose</x:v>
      </x:c>
      <x:c r="E16" s="7" t="str">
        <x:v>Extended network</x:v>
      </x:c>
      <x:c r="F16" s="14" t="n">
        <x:v>4</x:v>
      </x:c>
      <x:c r="G16" s="14" t="n">
        <x:v>4</x:v>
      </x:c>
      <x:c r="H16" s="14" t="n">
        <x:v>1</x:v>
      </x:c>
      <x:c r="I16" s="14" t="n">
        <x:v>4</x:v>
      </x:c>
      <x:c r="J16" s="15" t="n">
        <x:f>IF(D16="Eligible purpose",20*SUMPRODUCT(F16:I16,'Aircraft and method'!$B$16:$E$16),"")</x:f>
        <x:v>68</x:v>
      </x:c>
      <x:c r="K16" s="14" t="n">
        <x:v>3</x:v>
      </x:c>
      <x:c r="L16" s="14" t="n">
        <x:v>2</x:v>
      </x:c>
      <x:c r="M16" s="14" t="n">
        <x:v>1</x:v>
      </x:c>
      <x:c r="N16" s="14" t="n">
        <x:v>2</x:v>
      </x:c>
      <x:c r="O16" s="14" t="n">
        <x:v>3</x:v>
      </x:c>
      <x:c r="P16" s="2" t="n">
        <x:f>SUM(K16:O16)</x:f>
        <x:v>11</x:v>
      </x:c>
      <x:c r="Q16" s="7" t="str">
        <x:v>C152 / C208 conditional</x:v>
      </x:c>
      <x:c r="R16" s="2" t="n">
        <x:f>IF(Catalogue!S16="","",Catalogue!S16)</x:f>
        <x:v>310.5</x:v>
      </x:c>
      <x:c r="S16" s="2" t="n">
        <x:f>IF(Catalogue!V16="","",Catalogue!V16)</x:f>
        <x:v>143</x:v>
      </x:c>
      <x:c r="T16" s="7" t="str">
        <x:v>Eenhana district hospital and community services — Clinic/school supplies and community personnel; proposed game work, not a claim of an existing aviation contract.</x:v>
      </x:c>
      <x:c r="U16" s="7" t="str">
        <x:v>Named hospital and community personnel/supplies; no claim of poor-road access from runway alone.</x:v>
      </x:c>
      <x:c r="V16" s="2" t="n">
        <x:f>IF(AND(D16="Eligible purpose",OR(E16="Priority validation",E16="Extended network")),1,0)</x:f>
        <x:v>1</x:v>
      </x:c>
      <x:c r="W16" s="2" t="n">
        <x:f>IF(V16=1,J16+P16/1000+(1000-ROW())/1000000,-1)</x:f>
        <x:v>68.011984</x:v>
      </x:c>
      <x:c r="X16" s="2" t="str">
        <x:f>A16</x:f>
        <x:v>Missionary</x:v>
      </x:c>
      <x:c r="Y16" s="2" t="str">
        <x:f>B16</x:f>
        <x:v>FYEN</x:v>
      </x:c>
      <x:c r="Z16" s="2" t="str">
        <x:f>C16</x:f>
        <x:v>Eenhana Airport</x:v>
      </x:c>
      <x:c r="AA16" s="2" t="n">
        <x:f>J16</x:f>
        <x:v>68</x:v>
      </x:c>
      <x:c r="AB16" s="2" t="n">
        <x:f>P16</x:f>
        <x:v>11</x:v>
      </x:c>
      <x:c r="AC16" s="2" t="str">
        <x:f>E16</x:f>
        <x:v>Extended network</x:v>
      </x:c>
      <x:c r="AD16" s="2" t="n">
        <x:f>IF(S16="","",S16)</x:f>
        <x:v>143</x:v>
      </x:c>
      <x:c r="AE16" s="2" t="str">
        <x:f>T16</x:f>
        <x:v>Eenhana district hospital and community services — Clinic/school supplies and community personnel; proposed game work, not a claim of an existing aviation contract.</x:v>
      </x:c>
    </x:row>
    <x:row r="17" ht="54" customHeight="1">
      <x:c r="A17" s="2" t="str">
        <x:v>Missionary</x:v>
      </x:c>
      <x:c r="B17" s="2" t="str">
        <x:v>NA-0171</x:v>
      </x:c>
      <x:c r="C17" s="7" t="str">
        <x:v>Outapi Airport</x:v>
      </x:c>
      <x:c r="D17" s="7" t="str">
        <x:v>Eligible purpose</x:v>
      </x:c>
      <x:c r="E17" s="7" t="str">
        <x:v>Extended network</x:v>
      </x:c>
      <x:c r="F17" s="14" t="n">
        <x:v>4</x:v>
      </x:c>
      <x:c r="G17" s="14" t="n">
        <x:v>1</x:v>
      </x:c>
      <x:c r="H17" s="14" t="n">
        <x:v>1</x:v>
      </x:c>
      <x:c r="I17" s="14" t="n">
        <x:v>4</x:v>
      </x:c>
      <x:c r="J17" s="15" t="n">
        <x:f>IF(D17="Eligible purpose",20*SUMPRODUCT(F17:I17,'Aircraft and method'!$B$16:$E$16),"")</x:f>
        <x:v>59</x:v>
      </x:c>
      <x:c r="K17" s="14" t="n">
        <x:v>3</x:v>
      </x:c>
      <x:c r="L17" s="14" t="n">
        <x:v>2</x:v>
      </x:c>
      <x:c r="M17" s="14" t="n">
        <x:v>3</x:v>
      </x:c>
      <x:c r="N17" s="14" t="n">
        <x:v>3</x:v>
      </x:c>
      <x:c r="O17" s="14" t="n">
        <x:v>3</x:v>
      </x:c>
      <x:c r="P17" s="2" t="n">
        <x:f>SUM(K17:O17)</x:f>
        <x:v>14</x:v>
      </x:c>
      <x:c r="Q17" s="7" t="str">
        <x:v>C152 / C208 conditional</x:v>
      </x:c>
      <x:c r="R17" s="2" t="n">
        <x:f>IF(Catalogue!S17="","",Catalogue!S17)</x:f>
        <x:v>323.8</x:v>
      </x:c>
      <x:c r="S17" s="2" t="n">
        <x:f>IF(Catalogue!V17="","",Catalogue!V17)</x:f>
        <x:v>148</x:v>
      </x:c>
      <x:c r="T17" s="7" t="str">
        <x:v>Outapi hospital and community services — Clinic/school supplies and community personnel; proposed game work, not a claim of an existing aviation contract.</x:v>
      </x:c>
      <x:c r="U17" s="7" t="str">
        <x:v>Hospital documented; field dimensions and simulator identity unknown; long Eros leg.</x:v>
      </x:c>
      <x:c r="V17" s="2" t="n">
        <x:f>IF(AND(D17="Eligible purpose",OR(E17="Priority validation",E17="Extended network")),1,0)</x:f>
        <x:v>1</x:v>
      </x:c>
      <x:c r="W17" s="2" t="n">
        <x:f>IF(V17=1,J17+P17/1000+(1000-ROW())/1000000,-1)</x:f>
        <x:v>59.014983</x:v>
      </x:c>
      <x:c r="X17" s="2" t="str">
        <x:f>A17</x:f>
        <x:v>Missionary</x:v>
      </x:c>
      <x:c r="Y17" s="2" t="str">
        <x:f>B17</x:f>
        <x:v>NA-0171</x:v>
      </x:c>
      <x:c r="Z17" s="2" t="str">
        <x:f>C17</x:f>
        <x:v>Outapi Airport</x:v>
      </x:c>
      <x:c r="AA17" s="2" t="n">
        <x:f>J17</x:f>
        <x:v>59</x:v>
      </x:c>
      <x:c r="AB17" s="2" t="n">
        <x:f>P17</x:f>
        <x:v>14</x:v>
      </x:c>
      <x:c r="AC17" s="2" t="str">
        <x:f>E17</x:f>
        <x:v>Extended network</x:v>
      </x:c>
      <x:c r="AD17" s="2" t="n">
        <x:f>IF(S17="","",S17)</x:f>
        <x:v>148</x:v>
      </x:c>
      <x:c r="AE17" s="2" t="str">
        <x:f>T17</x:f>
        <x:v>Outapi hospital and community services — Clinic/school supplies and community personnel; proposed game work, not a claim of an existing aviation contract.</x:v>
      </x:c>
    </x:row>
    <x:row r="18" ht="54" customHeight="1">
      <x:c r="A18" s="2" t="str">
        <x:v>Missionary</x:v>
      </x:c>
      <x:c r="B18" s="2" t="str">
        <x:v>FYOH</x:v>
      </x:c>
      <x:c r="C18" s="7" t="str">
        <x:v>Okahao Airport</x:v>
      </x:c>
      <x:c r="D18" s="7" t="str">
        <x:v>Eligible purpose</x:v>
      </x:c>
      <x:c r="E18" s="7" t="str">
        <x:v>Extended network</x:v>
      </x:c>
      <x:c r="F18" s="14" t="n">
        <x:v>4</x:v>
      </x:c>
      <x:c r="G18" s="14" t="n">
        <x:v>1</x:v>
      </x:c>
      <x:c r="H18" s="14" t="n">
        <x:v>1</x:v>
      </x:c>
      <x:c r="I18" s="14" t="n">
        <x:v>4</x:v>
      </x:c>
      <x:c r="J18" s="15" t="n">
        <x:f>IF(D18="Eligible purpose",20*SUMPRODUCT(F18:I18,'Aircraft and method'!$B$16:$E$16),"")</x:f>
        <x:v>59</x:v>
      </x:c>
      <x:c r="K18" s="14" t="n">
        <x:v>3</x:v>
      </x:c>
      <x:c r="L18" s="14" t="n">
        <x:v>2</x:v>
      </x:c>
      <x:c r="M18" s="14" t="n">
        <x:v>3</x:v>
      </x:c>
      <x:c r="N18" s="14" t="n">
        <x:v>3</x:v>
      </x:c>
      <x:c r="O18" s="14" t="n">
        <x:v>3</x:v>
      </x:c>
      <x:c r="P18" s="2" t="n">
        <x:f>SUM(K18:O18)</x:f>
        <x:v>14</x:v>
      </x:c>
      <x:c r="Q18" s="7" t="str">
        <x:v>C152 / C208 conditional</x:v>
      </x:c>
      <x:c r="R18" s="2" t="n">
        <x:f>IF(Catalogue!S18="","",Catalogue!S18)</x:f>
        <x:v>305.2</x:v>
      </x:c>
      <x:c r="S18" s="2" t="n">
        <x:f>IF(Catalogue!V18="","",Catalogue!V18)</x:f>
        <x:v>140</x:v>
      </x:c>
      <x:c r="T18" s="7" t="str">
        <x:v>Okahao district hospital and youth skills training — Clinic/school supplies and community personnel; proposed game work, not a claim of an existing aviation contract.</x:v>
      </x:c>
      <x:c r="U18" s="7" t="str">
        <x:v>Specific health/education purpose; runway condition/measurements unknown.</x:v>
      </x:c>
      <x:c r="V18" s="2" t="n">
        <x:f>IF(AND(D18="Eligible purpose",OR(E18="Priority validation",E18="Extended network")),1,0)</x:f>
        <x:v>1</x:v>
      </x:c>
      <x:c r="W18" s="2" t="n">
        <x:f>IF(V18=1,J18+P18/1000+(1000-ROW())/1000000,-1)</x:f>
        <x:v>59.014982</x:v>
      </x:c>
      <x:c r="X18" s="2" t="str">
        <x:f>A18</x:f>
        <x:v>Missionary</x:v>
      </x:c>
      <x:c r="Y18" s="2" t="str">
        <x:f>B18</x:f>
        <x:v>FYOH</x:v>
      </x:c>
      <x:c r="Z18" s="2" t="str">
        <x:f>C18</x:f>
        <x:v>Okahao Airport</x:v>
      </x:c>
      <x:c r="AA18" s="2" t="n">
        <x:f>J18</x:f>
        <x:v>59</x:v>
      </x:c>
      <x:c r="AB18" s="2" t="n">
        <x:f>P18</x:f>
        <x:v>14</x:v>
      </x:c>
      <x:c r="AC18" s="2" t="str">
        <x:f>E18</x:f>
        <x:v>Extended network</x:v>
      </x:c>
      <x:c r="AD18" s="2" t="n">
        <x:f>IF(S18="","",S18)</x:f>
        <x:v>140</x:v>
      </x:c>
      <x:c r="AE18" s="2" t="str">
        <x:f>T18</x:f>
        <x:v>Okahao district hospital and youth skills training — Clinic/school supplies and community personnel; proposed game work, not a claim of an existing aviation contract.</x:v>
      </x:c>
    </x:row>
    <x:row r="19" ht="54" customHeight="1">
      <x:c r="A19" s="2" t="str">
        <x:v>Missionary</x:v>
      </x:c>
      <x:c r="B19" s="2" t="str">
        <x:v>FYKJ</x:v>
      </x:c>
      <x:c r="C19" s="7" t="str">
        <x:v>Kamanjab Airport</x:v>
      </x:c>
      <x:c r="D19" s="7" t="str">
        <x:v>Eligible purpose</x:v>
      </x:c>
      <x:c r="E19" s="7" t="str">
        <x:v>Priority validation</x:v>
      </x:c>
      <x:c r="F19" s="14" t="n">
        <x:v>5</x:v>
      </x:c>
      <x:c r="G19" s="14" t="n">
        <x:v>1</x:v>
      </x:c>
      <x:c r="H19" s="14" t="n">
        <x:v>4</x:v>
      </x:c>
      <x:c r="I19" s="14" t="n">
        <x:v>5</x:v>
      </x:c>
      <x:c r="J19" s="15" t="n">
        <x:f>IF(D19="Eligible purpose",20*SUMPRODUCT(F19:I19,'Aircraft and method'!$B$16:$E$16),"")</x:f>
        <x:v>84</x:v>
      </x:c>
      <x:c r="K19" s="14" t="n">
        <x:v>4</x:v>
      </x:c>
      <x:c r="L19" s="14" t="n">
        <x:v>4</x:v>
      </x:c>
      <x:c r="M19" s="14" t="n">
        <x:v>3</x:v>
      </x:c>
      <x:c r="N19" s="14" t="n">
        <x:v>3</x:v>
      </x:c>
      <x:c r="O19" s="14" t="n">
        <x:v>4</x:v>
      </x:c>
      <x:c r="P19" s="2" t="n">
        <x:f>SUM(K19:O19)</x:f>
        <x:v>18</x:v>
      </x:c>
      <x:c r="Q19" s="7" t="str">
        <x:v>C152 / C208 conditional</x:v>
      </x:c>
      <x:c r="R19" s="2" t="n">
        <x:f>IF(Catalogue!S19="","",Catalogue!S19)</x:f>
        <x:v>224.2</x:v>
      </x:c>
      <x:c r="S19" s="2" t="n">
        <x:f>IF(Catalogue!V19="","",Catalogue!V19)</x:f>
        <x:v>106</x:v>
      </x:c>
      <x:c r="T19" s="7" t="str">
        <x:v>Kamanjab health centre and schools — Clinic/school supplies and community personnel; proposed game work, not a claim of an existing aviation contract.</x:v>
      </x:c>
      <x:c r="U19" s="7" t="str">
        <x:v>Useful intermediate sector; runway data required before either type approval.</x:v>
      </x:c>
      <x:c r="V19" s="2" t="n">
        <x:f>IF(AND(D19="Eligible purpose",OR(E19="Priority validation",E19="Extended network")),1,0)</x:f>
        <x:v>1</x:v>
      </x:c>
      <x:c r="W19" s="2" t="n">
        <x:f>IF(V19=1,J19+P19/1000+(1000-ROW())/1000000,-1)</x:f>
        <x:v>84.018981</x:v>
      </x:c>
      <x:c r="X19" s="2" t="str">
        <x:f>A19</x:f>
        <x:v>Missionary</x:v>
      </x:c>
      <x:c r="Y19" s="2" t="str">
        <x:f>B19</x:f>
        <x:v>FYKJ</x:v>
      </x:c>
      <x:c r="Z19" s="2" t="str">
        <x:f>C19</x:f>
        <x:v>Kamanjab Airport</x:v>
      </x:c>
      <x:c r="AA19" s="2" t="n">
        <x:f>J19</x:f>
        <x:v>84</x:v>
      </x:c>
      <x:c r="AB19" s="2" t="n">
        <x:f>P19</x:f>
        <x:v>18</x:v>
      </x:c>
      <x:c r="AC19" s="2" t="str">
        <x:f>E19</x:f>
        <x:v>Priority validation</x:v>
      </x:c>
      <x:c r="AD19" s="2" t="n">
        <x:f>IF(S19="","",S19)</x:f>
        <x:v>106</x:v>
      </x:c>
      <x:c r="AE19" s="2" t="str">
        <x:f>T19</x:f>
        <x:v>Kamanjab health centre and schools — Clinic/school supplies and community personnel; proposed game work, not a claim of an existing aviation contract.</x:v>
      </x:c>
    </x:row>
    <x:row r="20" ht="54" customHeight="1">
      <x:c r="A20" s="2" t="str">
        <x:v>Missionary</x:v>
      </x:c>
      <x:c r="B20" s="2" t="str">
        <x:v>FYOJ</x:v>
      </x:c>
      <x:c r="C20" s="7" t="str">
        <x:v>Outjo Airport</x:v>
      </x:c>
      <x:c r="D20" s="7" t="str">
        <x:v>Eligible purpose</x:v>
      </x:c>
      <x:c r="E20" s="7" t="str">
        <x:v>Priority validation</x:v>
      </x:c>
      <x:c r="F20" s="14" t="n">
        <x:v>4</x:v>
      </x:c>
      <x:c r="G20" s="14" t="n">
        <x:v>1</x:v>
      </x:c>
      <x:c r="H20" s="14" t="n">
        <x:v>4</x:v>
      </x:c>
      <x:c r="I20" s="14" t="n">
        <x:v>5</x:v>
      </x:c>
      <x:c r="J20" s="15" t="n">
        <x:f>IF(D20="Eligible purpose",20*SUMPRODUCT(F20:I20,'Aircraft and method'!$B$16:$E$16),"")</x:f>
        <x:v>76</x:v>
      </x:c>
      <x:c r="K20" s="14" t="n">
        <x:v>3</x:v>
      </x:c>
      <x:c r="L20" s="14" t="n">
        <x:v>3</x:v>
      </x:c>
      <x:c r="M20" s="14" t="n">
        <x:v>2</x:v>
      </x:c>
      <x:c r="N20" s="14" t="n">
        <x:v>2</x:v>
      </x:c>
      <x:c r="O20" s="14" t="n">
        <x:v>4</x:v>
      </x:c>
      <x:c r="P20" s="2" t="n">
        <x:f>SUM(K20:O20)</x:f>
        <x:v>14</x:v>
      </x:c>
      <x:c r="Q20" s="7" t="str">
        <x:v>C152 / C208 conditional</x:v>
      </x:c>
      <x:c r="R20" s="2" t="n">
        <x:f>IF(Catalogue!S20="","",Catalogue!S20)</x:f>
        <x:v>161</x:v>
      </x:c>
      <x:c r="S20" s="2" t="n">
        <x:f>IF(Catalogue!V20="","",Catalogue!V20)</x:f>
        <x:v>79</x:v>
      </x:c>
      <x:c r="T20" s="7" t="str">
        <x:v>Outjo hospital and clinic — Clinic/school supplies and community personnel; proposed game work, not a claim of an existing aviation contract.</x:v>
      </x:c>
      <x:c r="U20" s="7" t="str">
        <x:v>Regional outreach/referral hub; paved-road accessibility reduces remoteness.</x:v>
      </x:c>
      <x:c r="V20" s="2" t="n">
        <x:f>IF(AND(D20="Eligible purpose",OR(E20="Priority validation",E20="Extended network")),1,0)</x:f>
        <x:v>1</x:v>
      </x:c>
      <x:c r="W20" s="2" t="n">
        <x:f>IF(V20=1,J20+P20/1000+(1000-ROW())/1000000,-1)</x:f>
        <x:v>76.01498</x:v>
      </x:c>
      <x:c r="X20" s="2" t="str">
        <x:f>A20</x:f>
        <x:v>Missionary</x:v>
      </x:c>
      <x:c r="Y20" s="2" t="str">
        <x:f>B20</x:f>
        <x:v>FYOJ</x:v>
      </x:c>
      <x:c r="Z20" s="2" t="str">
        <x:f>C20</x:f>
        <x:v>Outjo Airport</x:v>
      </x:c>
      <x:c r="AA20" s="2" t="n">
        <x:f>J20</x:f>
        <x:v>76</x:v>
      </x:c>
      <x:c r="AB20" s="2" t="n">
        <x:f>P20</x:f>
        <x:v>14</x:v>
      </x:c>
      <x:c r="AC20" s="2" t="str">
        <x:f>E20</x:f>
        <x:v>Priority validation</x:v>
      </x:c>
      <x:c r="AD20" s="2" t="n">
        <x:f>IF(S20="","",S20)</x:f>
        <x:v>79</x:v>
      </x:c>
      <x:c r="AE20" s="2" t="str">
        <x:f>T20</x:f>
        <x:v>Outjo hospital and clinic — Clinic/school supplies and community personnel; proposed game work, not a claim of an existing aviation contract.</x:v>
      </x:c>
    </x:row>
    <x:row r="21" ht="54" customHeight="1">
      <x:c r="A21" s="2" t="str">
        <x:v>Missionary</x:v>
      </x:c>
      <x:c r="B21" s="2" t="str">
        <x:v>FYOS</x:v>
      </x:c>
      <x:c r="C21" s="7" t="str">
        <x:v>Oshakati Airport</x:v>
      </x:c>
      <x:c r="D21" s="7" t="str">
        <x:v>Eligible purpose</x:v>
      </x:c>
      <x:c r="E21" s="7" t="str">
        <x:v>Extended network</x:v>
      </x:c>
      <x:c r="F21" s="14" t="n">
        <x:v>4</x:v>
      </x:c>
      <x:c r="G21" s="14" t="n">
        <x:v>4</x:v>
      </x:c>
      <x:c r="H21" s="14" t="n">
        <x:v>1</x:v>
      </x:c>
      <x:c r="I21" s="14" t="n">
        <x:v>5</x:v>
      </x:c>
      <x:c r="J21" s="15" t="n">
        <x:f>IF(D21="Eligible purpose",20*SUMPRODUCT(F21:I21,'Aircraft and method'!$B$16:$E$16),"")</x:f>
        <x:v>73</x:v>
      </x:c>
      <x:c r="K21" s="14" t="n">
        <x:v>3</x:v>
      </x:c>
      <x:c r="L21" s="14" t="n">
        <x:v>2</x:v>
      </x:c>
      <x:c r="M21" s="14" t="n">
        <x:v>1</x:v>
      </x:c>
      <x:c r="N21" s="14" t="n">
        <x:v>1</x:v>
      </x:c>
      <x:c r="O21" s="14" t="n">
        <x:v>4</x:v>
      </x:c>
      <x:c r="P21" s="2" t="n">
        <x:f>SUM(K21:O21)</x:f>
        <x:v>11</x:v>
      </x:c>
      <x:c r="Q21" s="7" t="str">
        <x:v>C152 / C208 conditional</x:v>
      </x:c>
      <x:c r="R21" s="2" t="n">
        <x:f>IF(Catalogue!S21="","",Catalogue!S21)</x:f>
        <x:v>298.9</x:v>
      </x:c>
      <x:c r="S21" s="2" t="n">
        <x:f>IF(Catalogue!V21="","",Catalogue!V21)</x:f>
        <x:v>138</x:v>
      </x:c>
      <x:c r="T21" s="7" t="str">
        <x:v>Oshakati intermediate hospital — Clinic/school supplies and community personnel; proposed game work, not a claim of an existing aviation contract.</x:v>
      </x:c>
      <x:c r="U21" s="7" t="str">
        <x:v>Referral destination, not isolated village; direct Eros leg exceeds target on slower type.</x:v>
      </x:c>
      <x:c r="V21" s="2" t="n">
        <x:f>IF(AND(D21="Eligible purpose",OR(E21="Priority validation",E21="Extended network")),1,0)</x:f>
        <x:v>1</x:v>
      </x:c>
      <x:c r="W21" s="2" t="n">
        <x:f>IF(V21=1,J21+P21/1000+(1000-ROW())/1000000,-1)</x:f>
        <x:v>73.011979</x:v>
      </x:c>
      <x:c r="X21" s="2" t="str">
        <x:f>A21</x:f>
        <x:v>Missionary</x:v>
      </x:c>
      <x:c r="Y21" s="2" t="str">
        <x:f>B21</x:f>
        <x:v>FYOS</x:v>
      </x:c>
      <x:c r="Z21" s="2" t="str">
        <x:f>C21</x:f>
        <x:v>Oshakati Airport</x:v>
      </x:c>
      <x:c r="AA21" s="2" t="n">
        <x:f>J21</x:f>
        <x:v>73</x:v>
      </x:c>
      <x:c r="AB21" s="2" t="n">
        <x:f>P21</x:f>
        <x:v>11</x:v>
      </x:c>
      <x:c r="AC21" s="2" t="str">
        <x:f>E21</x:f>
        <x:v>Extended network</x:v>
      </x:c>
      <x:c r="AD21" s="2" t="n">
        <x:f>IF(S21="","",S21)</x:f>
        <x:v>138</x:v>
      </x:c>
      <x:c r="AE21" s="2" t="str">
        <x:f>T21</x:f>
        <x:v>Oshakati intermediate hospital — Clinic/school supplies and community personnel; proposed game work, not a claim of an existing aviation contract.</x:v>
      </x:c>
    </x:row>
    <x:row r="22" ht="54" customHeight="1">
      <x:c r="A22" s="2" t="str">
        <x:v>Missionary</x:v>
      </x:c>
      <x:c r="B22" s="2" t="str">
        <x:v>FYAM</x:v>
      </x:c>
      <x:c r="C22" s="7" t="str">
        <x:v>Aminuis Airstrip</x:v>
      </x:c>
      <x:c r="D22" s="7" t="str">
        <x:v>Eligible purpose</x:v>
      </x:c>
      <x:c r="E22" s="7" t="str">
        <x:v>Priority validation</x:v>
      </x:c>
      <x:c r="F22" s="14" t="n">
        <x:v>5</x:v>
      </x:c>
      <x:c r="G22" s="14" t="n">
        <x:v>1</x:v>
      </x:c>
      <x:c r="H22" s="14" t="n">
        <x:v>5</x:v>
      </x:c>
      <x:c r="I22" s="14" t="n">
        <x:v>5</x:v>
      </x:c>
      <x:c r="J22" s="15" t="n">
        <x:f>IF(D22="Eligible purpose",20*SUMPRODUCT(F22:I22,'Aircraft and method'!$B$16:$E$16),"")</x:f>
        <x:v>88</x:v>
      </x:c>
      <x:c r="K22" s="14" t="n">
        <x:v>3</x:v>
      </x:c>
      <x:c r="L22" s="14" t="n">
        <x:v>3</x:v>
      </x:c>
      <x:c r="M22" s="14" t="n">
        <x:v>3</x:v>
      </x:c>
      <x:c r="N22" s="14" t="n">
        <x:v>4</x:v>
      </x:c>
      <x:c r="O22" s="14" t="n">
        <x:v>5</x:v>
      </x:c>
      <x:c r="P22" s="2" t="n">
        <x:f>SUM(K22:O22)</x:f>
        <x:v>18</x:v>
      </x:c>
      <x:c r="Q22" s="7" t="str">
        <x:v>C152 / C208 conditional</x:v>
      </x:c>
      <x:c r="R22" s="2" t="n">
        <x:f>IF(Catalogue!S22="","",Catalogue!S22)</x:f>
        <x:v>140.5</x:v>
      </x:c>
      <x:c r="S22" s="2" t="n">
        <x:f>IF(Catalogue!V22="","",Catalogue!V22)</x:f>
        <x:v>70</x:v>
      </x:c>
      <x:c r="T22" s="7" t="str">
        <x:v>Aminuis clinic, schools and rural settlement — Clinic/school supplies and community personnel; proposed game work, not a claim of an existing aviation contract.</x:v>
      </x:c>
      <x:c r="U22" s="7" t="str">
        <x:v>High-value closer candidate: named services and partly gravel road connection. OSM clinic is about 1.3 NM from field; ground transfer inferred.</x:v>
      </x:c>
      <x:c r="V22" s="2" t="n">
        <x:f>IF(AND(D22="Eligible purpose",OR(E22="Priority validation",E22="Extended network")),1,0)</x:f>
        <x:v>1</x:v>
      </x:c>
      <x:c r="W22" s="2" t="n">
        <x:f>IF(V22=1,J22+P22/1000+(1000-ROW())/1000000,-1)</x:f>
        <x:v>88.018978</x:v>
      </x:c>
      <x:c r="X22" s="2" t="str">
        <x:f>A22</x:f>
        <x:v>Missionary</x:v>
      </x:c>
      <x:c r="Y22" s="2" t="str">
        <x:f>B22</x:f>
        <x:v>FYAM</x:v>
      </x:c>
      <x:c r="Z22" s="2" t="str">
        <x:f>C22</x:f>
        <x:v>Aminuis Airstrip</x:v>
      </x:c>
      <x:c r="AA22" s="2" t="n">
        <x:f>J22</x:f>
        <x:v>88</x:v>
      </x:c>
      <x:c r="AB22" s="2" t="n">
        <x:f>P22</x:f>
        <x:v>18</x:v>
      </x:c>
      <x:c r="AC22" s="2" t="str">
        <x:f>E22</x:f>
        <x:v>Priority validation</x:v>
      </x:c>
      <x:c r="AD22" s="2" t="n">
        <x:f>IF(S22="","",S22)</x:f>
        <x:v>70</x:v>
      </x:c>
      <x:c r="AE22" s="2" t="str">
        <x:f>T22</x:f>
        <x:v>Aminuis clinic, schools and rural settlement — Clinic/school supplies and community personnel; proposed game work, not a claim of an existing aviation contract.</x:v>
      </x:c>
    </x:row>
    <x:row r="23" ht="54" customHeight="1">
      <x:c r="A23" s="2" t="str">
        <x:v>Missionary</x:v>
      </x:c>
      <x:c r="B23" s="2" t="str">
        <x:v>NA-0114</x:v>
      </x:c>
      <x:c r="C23" s="7" t="str">
        <x:v>Leonardville Airport</x:v>
      </x:c>
      <x:c r="D23" s="7" t="str">
        <x:v>Eligible purpose</x:v>
      </x:c>
      <x:c r="E23" s="7" t="str">
        <x:v>Priority validation</x:v>
      </x:c>
      <x:c r="F23" s="14" t="n">
        <x:v>5</x:v>
      </x:c>
      <x:c r="G23" s="14" t="n">
        <x:v>1</x:v>
      </x:c>
      <x:c r="H23" s="14" t="n">
        <x:v>5</x:v>
      </x:c>
      <x:c r="I23" s="14" t="n">
        <x:v>5</x:v>
      </x:c>
      <x:c r="J23" s="15" t="n">
        <x:f>IF(D23="Eligible purpose",20*SUMPRODUCT(F23:I23,'Aircraft and method'!$B$16:$E$16),"")</x:f>
        <x:v>88</x:v>
      </x:c>
      <x:c r="K23" s="14" t="n">
        <x:v>3</x:v>
      </x:c>
      <x:c r="L23" s="14" t="n">
        <x:v>3</x:v>
      </x:c>
      <x:c r="M23" s="14" t="n">
        <x:v>3</x:v>
      </x:c>
      <x:c r="N23" s="14" t="n">
        <x:v>3</x:v>
      </x:c>
      <x:c r="O23" s="14" t="n">
        <x:v>5</x:v>
      </x:c>
      <x:c r="P23" s="2" t="n">
        <x:f>SUM(K23:O23)</x:f>
        <x:v>17</x:v>
      </x:c>
      <x:c r="Q23" s="7" t="str">
        <x:v>C152 / C208 conditional</x:v>
      </x:c>
      <x:c r="R23" s="2" t="n">
        <x:f>IF(Catalogue!S23="","",Catalogue!S23)</x:f>
        <x:v>109.2</x:v>
      </x:c>
      <x:c r="S23" s="2" t="n">
        <x:f>IF(Catalogue!V23="","",Catalogue!V23)</x:f>
        <x:v>57</x:v>
      </x:c>
      <x:c r="T23" s="7" t="str">
        <x:v>Leonardville clinic, primary and secondary schools — Clinic/school supplies and community personnel; proposed game work, not a claim of an existing aviation contract.</x:v>
      </x:c>
      <x:c r="U23" s="7" t="str">
        <x:v>Strong shorter-route candidate with actual community services; no confirmed simulator identifier.</x:v>
      </x:c>
      <x:c r="V23" s="2" t="n">
        <x:f>IF(AND(D23="Eligible purpose",OR(E23="Priority validation",E23="Extended network")),1,0)</x:f>
        <x:v>1</x:v>
      </x:c>
      <x:c r="W23" s="2" t="n">
        <x:f>IF(V23=1,J23+P23/1000+(1000-ROW())/1000000,-1)</x:f>
        <x:v>88.017977</x:v>
      </x:c>
      <x:c r="X23" s="2" t="str">
        <x:f>A23</x:f>
        <x:v>Missionary</x:v>
      </x:c>
      <x:c r="Y23" s="2" t="str">
        <x:f>B23</x:f>
        <x:v>NA-0114</x:v>
      </x:c>
      <x:c r="Z23" s="2" t="str">
        <x:f>C23</x:f>
        <x:v>Leonardville Airport</x:v>
      </x:c>
      <x:c r="AA23" s="2" t="n">
        <x:f>J23</x:f>
        <x:v>88</x:v>
      </x:c>
      <x:c r="AB23" s="2" t="n">
        <x:f>P23</x:f>
        <x:v>17</x:v>
      </x:c>
      <x:c r="AC23" s="2" t="str">
        <x:f>E23</x:f>
        <x:v>Priority validation</x:v>
      </x:c>
      <x:c r="AD23" s="2" t="n">
        <x:f>IF(S23="","",S23)</x:f>
        <x:v>57</x:v>
      </x:c>
      <x:c r="AE23" s="2" t="str">
        <x:f>T23</x:f>
        <x:v>Leonardville clinic, primary and secondary schools — Clinic/school supplies and community personnel; proposed game work, not a claim of an existing aviation contract.</x:v>
      </x:c>
    </x:row>
    <x:row r="24" ht="54" customHeight="1">
      <x:c r="A24" s="2" t="str">
        <x:v>Missionary</x:v>
      </x:c>
      <x:c r="B24" s="2" t="str">
        <x:v>NA-0014</x:v>
      </x:c>
      <x:c r="C24" s="7" t="str">
        <x:v>Dordabis Carpet Airport</x:v>
      </x:c>
      <x:c r="D24" s="7" t="str">
        <x:v>Eligible purpose</x:v>
      </x:c>
      <x:c r="E24" s="7" t="str">
        <x:v>Priority validation</x:v>
      </x:c>
      <x:c r="F24" s="14" t="n">
        <x:v>5</x:v>
      </x:c>
      <x:c r="G24" s="14" t="n">
        <x:v>1</x:v>
      </x:c>
      <x:c r="H24" s="14" t="n">
        <x:v>5</x:v>
      </x:c>
      <x:c r="I24" s="14" t="n">
        <x:v>4</x:v>
      </x:c>
      <x:c r="J24" s="15" t="n">
        <x:f>IF(D24="Eligible purpose",20*SUMPRODUCT(F24:I24,'Aircraft and method'!$B$16:$E$16),"")</x:f>
        <x:v>83</x:v>
      </x:c>
      <x:c r="K24" s="14" t="n">
        <x:v>4</x:v>
      </x:c>
      <x:c r="L24" s="14" t="n">
        <x:v>4</x:v>
      </x:c>
      <x:c r="M24" s="14" t="n">
        <x:v>3</x:v>
      </x:c>
      <x:c r="N24" s="14" t="n">
        <x:v>3</x:v>
      </x:c>
      <x:c r="O24" s="14" t="n">
        <x:v>5</x:v>
      </x:c>
      <x:c r="P24" s="2" t="n">
        <x:f>SUM(K24:O24)</x:f>
        <x:v>19</x:v>
      </x:c>
      <x:c r="Q24" s="7" t="str">
        <x:v>C152 / C208 conditional</x:v>
      </x:c>
      <x:c r="R24" s="2" t="n">
        <x:f>IF(Catalogue!S24="","",Catalogue!S24)</x:f>
        <x:v>37.5</x:v>
      </x:c>
      <x:c r="S24" s="2" t="n">
        <x:f>IF(Catalogue!V24="","",Catalogue!V24)</x:f>
        <x:v>26</x:v>
      </x:c>
      <x:c r="T24" s="7" t="str">
        <x:v>Dordabis clinic and community service area — Clinic/school supplies and community personnel; proposed game work, not a claim of an existing aviation contract.</x:v>
      </x:c>
      <x:c r="U24" s="7" t="str">
        <x:v>Closer Eros opportunity: named clinic and community training programme. Private Carpet field access and usable runway unknown; facility exists but no real aviation contract is asserted.</x:v>
      </x:c>
      <x:c r="V24" s="2" t="n">
        <x:f>IF(AND(D24="Eligible purpose",OR(E24="Priority validation",E24="Extended network")),1,0)</x:f>
        <x:v>1</x:v>
      </x:c>
      <x:c r="W24" s="2" t="n">
        <x:f>IF(V24=1,J24+P24/1000+(1000-ROW())/1000000,-1)</x:f>
        <x:v>83.019976</x:v>
      </x:c>
      <x:c r="X24" s="2" t="str">
        <x:f>A24</x:f>
        <x:v>Missionary</x:v>
      </x:c>
      <x:c r="Y24" s="2" t="str">
        <x:f>B24</x:f>
        <x:v>NA-0014</x:v>
      </x:c>
      <x:c r="Z24" s="2" t="str">
        <x:f>C24</x:f>
        <x:v>Dordabis Carpet Airport</x:v>
      </x:c>
      <x:c r="AA24" s="2" t="n">
        <x:f>J24</x:f>
        <x:v>83</x:v>
      </x:c>
      <x:c r="AB24" s="2" t="n">
        <x:f>P24</x:f>
        <x:v>19</x:v>
      </x:c>
      <x:c r="AC24" s="2" t="str">
        <x:f>E24</x:f>
        <x:v>Priority validation</x:v>
      </x:c>
      <x:c r="AD24" s="2" t="n">
        <x:f>IF(S24="","",S24)</x:f>
        <x:v>26</x:v>
      </x:c>
      <x:c r="AE24" s="2" t="str">
        <x:f>T24</x:f>
        <x:v>Dordabis clinic and community service area — Clinic/school supplies and community personnel; proposed game work, not a claim of an existing aviation contract.</x:v>
      </x:c>
    </x:row>
    <x:row r="25" ht="54" customHeight="1">
      <x:c r="A25" s="2" t="str">
        <x:v>Missionary</x:v>
      </x:c>
      <x:c r="B25" s="2" t="str">
        <x:v>FYGB</x:v>
      </x:c>
      <x:c r="C25" s="7" t="str">
        <x:v>Gobabis Airport</x:v>
      </x:c>
      <x:c r="D25" s="7" t="str">
        <x:v>Eligible purpose</x:v>
      </x:c>
      <x:c r="E25" s="7" t="str">
        <x:v>Priority validation</x:v>
      </x:c>
      <x:c r="F25" s="14" t="n">
        <x:v>4</x:v>
      </x:c>
      <x:c r="G25" s="14" t="n">
        <x:v>1</x:v>
      </x:c>
      <x:c r="H25" s="14" t="n">
        <x:v>5</x:v>
      </x:c>
      <x:c r="I25" s="14" t="n">
        <x:v>5</x:v>
      </x:c>
      <x:c r="J25" s="15" t="n">
        <x:f>IF(D25="Eligible purpose",20*SUMPRODUCT(F25:I25,'Aircraft and method'!$B$16:$E$16),"")</x:f>
        <x:v>80</x:v>
      </x:c>
      <x:c r="K25" s="14" t="n">
        <x:v>3</x:v>
      </x:c>
      <x:c r="L25" s="14" t="n">
        <x:v>3</x:v>
      </x:c>
      <x:c r="M25" s="14" t="n">
        <x:v>2</x:v>
      </x:c>
      <x:c r="N25" s="14" t="n">
        <x:v>2</x:v>
      </x:c>
      <x:c r="O25" s="14" t="n">
        <x:v>4</x:v>
      </x:c>
      <x:c r="P25" s="2" t="n">
        <x:f>SUM(K25:O25)</x:f>
        <x:v>14</x:v>
      </x:c>
      <x:c r="Q25" s="7" t="str">
        <x:v>C152 / C208 conditional</x:v>
      </x:c>
      <x:c r="R25" s="2" t="n">
        <x:f>IF(Catalogue!S25="","",Catalogue!S25)</x:f>
        <x:v>105.2</x:v>
      </x:c>
      <x:c r="S25" s="2" t="n">
        <x:f>IF(Catalogue!V25="","",Catalogue!V25)</x:f>
        <x:v>55</x:v>
      </x:c>
      <x:c r="T25" s="7" t="str">
        <x:v>Gobabis district hospital / Omaheke referral network — Clinic/school supplies and community personnel; proposed game work, not a claim of an existing aviation contract.</x:v>
      </x:c>
      <x:c r="U25" s="7" t="str">
        <x:v>Hospital/clinic staff and urgent supplies credible; established road access means this is a referral hub, not a road-isolated bush community.</x:v>
      </x:c>
      <x:c r="V25" s="2" t="n">
        <x:f>IF(AND(D25="Eligible purpose",OR(E25="Priority validation",E25="Extended network")),1,0)</x:f>
        <x:v>1</x:v>
      </x:c>
      <x:c r="W25" s="2" t="n">
        <x:f>IF(V25=1,J25+P25/1000+(1000-ROW())/1000000,-1)</x:f>
        <x:v>80.01497499999999</x:v>
      </x:c>
      <x:c r="X25" s="2" t="str">
        <x:f>A25</x:f>
        <x:v>Missionary</x:v>
      </x:c>
      <x:c r="Y25" s="2" t="str">
        <x:f>B25</x:f>
        <x:v>FYGB</x:v>
      </x:c>
      <x:c r="Z25" s="2" t="str">
        <x:f>C25</x:f>
        <x:v>Gobabis Airport</x:v>
      </x:c>
      <x:c r="AA25" s="2" t="n">
        <x:f>J25</x:f>
        <x:v>80</x:v>
      </x:c>
      <x:c r="AB25" s="2" t="n">
        <x:f>P25</x:f>
        <x:v>14</x:v>
      </x:c>
      <x:c r="AC25" s="2" t="str">
        <x:f>E25</x:f>
        <x:v>Priority validation</x:v>
      </x:c>
      <x:c r="AD25" s="2" t="n">
        <x:f>IF(S25="","",S25)</x:f>
        <x:v>55</x:v>
      </x:c>
      <x:c r="AE25" s="2" t="str">
        <x:f>T25</x:f>
        <x:v>Gobabis district hospital / Omaheke referral network — Clinic/school supplies and community personnel; proposed game work, not a claim of an existing aviation contract.</x:v>
      </x:c>
    </x:row>
    <x:row r="26" ht="42" customHeight="1">
      <x:c r="A26" s="2" t="str">
        <x:v>Industrial</x:v>
      </x:c>
      <x:c r="B26" s="2" t="str">
        <x:v>FYAR</x:v>
      </x:c>
      <x:c r="C26" s="7" t="str">
        <x:v>Arandis Airport</x:v>
      </x:c>
      <x:c r="D26" s="7" t="str">
        <x:v>Eligible purpose</x:v>
      </x:c>
      <x:c r="E26" s="7" t="str">
        <x:v>Priority validation</x:v>
      </x:c>
      <x:c r="F26" s="14" t="n">
        <x:v>5</x:v>
      </x:c>
      <x:c r="G26" s="14" t="n">
        <x:v>4</x:v>
      </x:c>
      <x:c r="H26" s="14" t="n">
        <x:v>5</x:v>
      </x:c>
      <x:c r="I26" s="14" t="n">
        <x:v>5</x:v>
      </x:c>
      <x:c r="J26" s="15" t="n">
        <x:f>IF(D26="Eligible purpose",20*SUMPRODUCT(F26:I26,'Aircraft and method'!$B$18:$E$18),"")</x:f>
        <x:v>96</x:v>
      </x:c>
      <x:c r="K26" s="14" t="n">
        <x:v>4</x:v>
      </x:c>
      <x:c r="L26" s="14" t="n">
        <x:v>3</x:v>
      </x:c>
      <x:c r="M26" s="14" t="n">
        <x:v>1</x:v>
      </x:c>
      <x:c r="N26" s="14" t="n">
        <x:v>3</x:v>
      </x:c>
      <x:c r="O26" s="14" t="n">
        <x:v>5</x:v>
      </x:c>
      <x:c r="P26" s="2" t="n">
        <x:f>SUM(K26:O26)</x:f>
        <x:v>16</x:v>
      </x:c>
      <x:c r="Q26" s="7" t="str">
        <x:v>C208 / Baron conditional</x:v>
      </x:c>
      <x:c r="R26" s="2" t="n">
        <x:f>IF(Catalogue!S26="","",Catalogue!S26)</x:f>
        <x:v>116.8</x:v>
      </x:c>
      <x:c r="S26" s="2" t="n">
        <x:f>IF(Catalogue!V26="","",Catalogue!V26)</x:f>
        <x:v>60</x:v>
      </x:c>
      <x:c r="T26" s="7" t="str">
        <x:v>Arandis / Rössing uranium mine — Urgent parts, tools, samples and specialists; aircraft-scale consignments only.</x:v>
      </x:c>
      <x:c r="U26" s="7" t="str">
        <x:v>Retain existing accepted airport and prototype economy role; road transfer to mine. No radioactive cargo proposed.</x:v>
      </x:c>
      <x:c r="V26" s="2" t="n">
        <x:f>IF(AND(D26="Eligible purpose",OR(E26="Priority validation",E26="Extended network")),1,0)</x:f>
        <x:v>1</x:v>
      </x:c>
      <x:c r="W26" s="2" t="n">
        <x:f>IF(V26=1,J26+P26/1000+(1000-ROW())/1000000,-1)</x:f>
        <x:v>96.016974</x:v>
      </x:c>
      <x:c r="X26" s="2" t="str">
        <x:f>A26</x:f>
        <x:v>Industrial</x:v>
      </x:c>
      <x:c r="Y26" s="2" t="str">
        <x:f>B26</x:f>
        <x:v>FYAR</x:v>
      </x:c>
      <x:c r="Z26" s="2" t="str">
        <x:f>C26</x:f>
        <x:v>Arandis Airport</x:v>
      </x:c>
      <x:c r="AA26" s="2" t="n">
        <x:f>J26</x:f>
        <x:v>96</x:v>
      </x:c>
      <x:c r="AB26" s="2" t="n">
        <x:f>P26</x:f>
        <x:v>16</x:v>
      </x:c>
      <x:c r="AC26" s="2" t="str">
        <x:f>E26</x:f>
        <x:v>Priority validation</x:v>
      </x:c>
      <x:c r="AD26" s="2" t="n">
        <x:f>IF(S26="","",S26)</x:f>
        <x:v>60</x:v>
      </x:c>
      <x:c r="AE26" s="2" t="str">
        <x:f>T26</x:f>
        <x:v>Arandis / Rössing uranium mine — Urgent parts, tools, samples and specialists; aircraft-scale consignments only.</x:v>
      </x:c>
    </x:row>
    <x:row r="27" ht="42" customHeight="1">
      <x:c r="A27" s="2" t="str">
        <x:v>Industrial</x:v>
      </x:c>
      <x:c r="B27" s="2" t="str">
        <x:v>FYUS</x:v>
      </x:c>
      <x:c r="C27" s="7" t="str">
        <x:v>Uis Mine Airport</x:v>
      </x:c>
      <x:c r="D27" s="7" t="str">
        <x:v>Eligible purpose</x:v>
      </x:c>
      <x:c r="E27" s="7" t="str">
        <x:v>Priority validation</x:v>
      </x:c>
      <x:c r="F27" s="14" t="n">
        <x:v>5</x:v>
      </x:c>
      <x:c r="G27" s="14" t="n">
        <x:v>1</x:v>
      </x:c>
      <x:c r="H27" s="14" t="n">
        <x:v>5</x:v>
      </x:c>
      <x:c r="I27" s="14" t="n">
        <x:v>5</x:v>
      </x:c>
      <x:c r="J27" s="15" t="n">
        <x:f>IF(D27="Eligible purpose",20*SUMPRODUCT(F27:I27,'Aircraft and method'!$B$18:$E$18),"")</x:f>
        <x:v>84</x:v>
      </x:c>
      <x:c r="K27" s="14" t="n">
        <x:v>5</x:v>
      </x:c>
      <x:c r="L27" s="14" t="n">
        <x:v>4</x:v>
      </x:c>
      <x:c r="M27" s="14" t="n">
        <x:v>3</x:v>
      </x:c>
      <x:c r="N27" s="14" t="n">
        <x:v>4</x:v>
      </x:c>
      <x:c r="O27" s="14" t="n">
        <x:v>5</x:v>
      </x:c>
      <x:c r="P27" s="2" t="n">
        <x:f>SUM(K27:O27)</x:f>
        <x:v>21</x:v>
      </x:c>
      <x:c r="Q27" s="7" t="str">
        <x:v>C208 / Baron conditional</x:v>
      </x:c>
      <x:c r="R27" s="2" t="n">
        <x:f>IF(Catalogue!S27="","",Catalogue!S27)</x:f>
        <x:v>148.3</x:v>
      </x:c>
      <x:c r="S27" s="2" t="n">
        <x:f>IF(Catalogue!V27="","",Catalogue!V27)</x:f>
        <x:v>74</x:v>
      </x:c>
      <x:c r="T27" s="7" t="str">
        <x:v>Uis tin mine / Andrada — Urgent parts, tools, samples and specialists; aircraft-scale consignments only.</x:v>
      </x:c>
      <x:c r="U27" s="7" t="str">
        <x:v>Retain existing accepted field and resource-economy role; no runway measurements established.</x:v>
      </x:c>
      <x:c r="V27" s="2" t="n">
        <x:f>IF(AND(D27="Eligible purpose",OR(E27="Priority validation",E27="Extended network")),1,0)</x:f>
        <x:v>1</x:v>
      </x:c>
      <x:c r="W27" s="2" t="n">
        <x:f>IF(V27=1,J27+P27/1000+(1000-ROW())/1000000,-1)</x:f>
        <x:v>84.021973</x:v>
      </x:c>
      <x:c r="X27" s="2" t="str">
        <x:f>A27</x:f>
        <x:v>Industrial</x:v>
      </x:c>
      <x:c r="Y27" s="2" t="str">
        <x:f>B27</x:f>
        <x:v>FYUS</x:v>
      </x:c>
      <x:c r="Z27" s="2" t="str">
        <x:f>C27</x:f>
        <x:v>Uis Mine Airport</x:v>
      </x:c>
      <x:c r="AA27" s="2" t="n">
        <x:f>J27</x:f>
        <x:v>84</x:v>
      </x:c>
      <x:c r="AB27" s="2" t="n">
        <x:f>P27</x:f>
        <x:v>21</x:v>
      </x:c>
      <x:c r="AC27" s="2" t="str">
        <x:f>E27</x:f>
        <x:v>Priority validation</x:v>
      </x:c>
      <x:c r="AD27" s="2" t="n">
        <x:f>IF(S27="","",S27)</x:f>
        <x:v>74</x:v>
      </x:c>
      <x:c r="AE27" s="2" t="str">
        <x:f>T27</x:f>
        <x:v>Uis tin mine / Andrada — Urgent parts, tools, samples and specialists; aircraft-scale consignments only.</x:v>
      </x:c>
    </x:row>
    <x:row r="28" ht="54" customHeight="1">
      <x:c r="A28" s="2" t="str">
        <x:v>Industrial</x:v>
      </x:c>
      <x:c r="B28" s="2" t="str">
        <x:v>FYBM</x:v>
      </x:c>
      <x:c r="C28" s="7" t="str">
        <x:v>B2Gold Otjikoto Mine Airport</x:v>
      </x:c>
      <x:c r="D28" s="7" t="str">
        <x:v>Eligible purpose</x:v>
      </x:c>
      <x:c r="E28" s="7" t="str">
        <x:v>Priority validation</x:v>
      </x:c>
      <x:c r="F28" s="14" t="n">
        <x:v>5</x:v>
      </x:c>
      <x:c r="G28" s="14" t="n">
        <x:v>1</x:v>
      </x:c>
      <x:c r="H28" s="14" t="n">
        <x:v>5</x:v>
      </x:c>
      <x:c r="I28" s="14" t="n">
        <x:v>5</x:v>
      </x:c>
      <x:c r="J28" s="15" t="n">
        <x:f>IF(D28="Eligible purpose",20*SUMPRODUCT(F28:I28,'Aircraft and method'!$B$18:$E$18),"")</x:f>
        <x:v>84</x:v>
      </x:c>
      <x:c r="K28" s="14" t="n">
        <x:v>3</x:v>
      </x:c>
      <x:c r="L28" s="14" t="n">
        <x:v>3</x:v>
      </x:c>
      <x:c r="M28" s="14" t="n">
        <x:v>3</x:v>
      </x:c>
      <x:c r="N28" s="14" t="n">
        <x:v>3</x:v>
      </x:c>
      <x:c r="O28" s="14" t="n">
        <x:v>5</x:v>
      </x:c>
      <x:c r="P28" s="2" t="n">
        <x:f>SUM(K28:O28)</x:f>
        <x:v>17</x:v>
      </x:c>
      <x:c r="Q28" s="7" t="str">
        <x:v>C208 / Baron conditional</x:v>
      </x:c>
      <x:c r="R28" s="2" t="n">
        <x:f>IF(Catalogue!S28="","",Catalogue!S28)</x:f>
        <x:v>156.9</x:v>
      </x:c>
      <x:c r="S28" s="2" t="n">
        <x:f>IF(Catalogue!V28="","",Catalogue!V28)</x:f>
        <x:v>77</x:v>
      </x:c>
      <x:c r="T28" s="7" t="str">
        <x:v>Otjikoto gold mine / Wolfshag underground operation — Urgent parts, tools, samples and specialists; aircraft-scale consignments only.</x:v>
      </x:c>
      <x:c r="U28" s="7" t="str">
        <x:v>Open-pit phase ended 2025; underground/processing support remains plausible. Identifier absent in recorded MSFS response.</x:v>
      </x:c>
      <x:c r="V28" s="2" t="n">
        <x:f>IF(AND(D28="Eligible purpose",OR(E28="Priority validation",E28="Extended network")),1,0)</x:f>
        <x:v>1</x:v>
      </x:c>
      <x:c r="W28" s="2" t="n">
        <x:f>IF(V28=1,J28+P28/1000+(1000-ROW())/1000000,-1)</x:f>
        <x:v>84.017972</x:v>
      </x:c>
      <x:c r="X28" s="2" t="str">
        <x:f>A28</x:f>
        <x:v>Industrial</x:v>
      </x:c>
      <x:c r="Y28" s="2" t="str">
        <x:f>B28</x:f>
        <x:v>FYBM</x:v>
      </x:c>
      <x:c r="Z28" s="2" t="str">
        <x:f>C28</x:f>
        <x:v>B2Gold Otjikoto Mine Airport</x:v>
      </x:c>
      <x:c r="AA28" s="2" t="n">
        <x:f>J28</x:f>
        <x:v>84</x:v>
      </x:c>
      <x:c r="AB28" s="2" t="n">
        <x:f>P28</x:f>
        <x:v>17</x:v>
      </x:c>
      <x:c r="AC28" s="2" t="str">
        <x:f>E28</x:f>
        <x:v>Priority validation</x:v>
      </x:c>
      <x:c r="AD28" s="2" t="n">
        <x:f>IF(S28="","",S28)</x:f>
        <x:v>77</x:v>
      </x:c>
      <x:c r="AE28" s="2" t="str">
        <x:f>T28</x:f>
        <x:v>Otjikoto gold mine / Wolfshag underground operation — Urgent parts, tools, samples and specialists; aircraft-scale consignments only.</x:v>
      </x:c>
    </x:row>
    <x:row r="29" ht="42" customHeight="1">
      <x:c r="A29" s="2" t="str">
        <x:v>Industrial</x:v>
      </x:c>
      <x:c r="B29" s="2" t="str">
        <x:v>FYKR</x:v>
      </x:c>
      <x:c r="C29" s="7" t="str">
        <x:v>Okorusu Mine Airstrip</x:v>
      </x:c>
      <x:c r="D29" s="7" t="str">
        <x:v>Eligible purpose</x:v>
      </x:c>
      <x:c r="E29" s="7" t="str">
        <x:v>Research hold</x:v>
      </x:c>
      <x:c r="F29" s="14" t="n">
        <x:v>4</x:v>
      </x:c>
      <x:c r="G29" s="14" t="n">
        <x:v>1</x:v>
      </x:c>
      <x:c r="H29" s="14" t="n">
        <x:v>5</x:v>
      </x:c>
      <x:c r="I29" s="14" t="n">
        <x:v>3</x:v>
      </x:c>
      <x:c r="J29" s="15" t="n">
        <x:f>IF(D29="Eligible purpose",20*SUMPRODUCT(F29:I29,'Aircraft and method'!$B$18:$E$18),"")</x:f>
        <x:v>68</x:v>
      </x:c>
      <x:c r="K29" s="14" t="n">
        <x:v>4</x:v>
      </x:c>
      <x:c r="L29" s="14" t="n">
        <x:v>3</x:v>
      </x:c>
      <x:c r="M29" s="14" t="n">
        <x:v>3</x:v>
      </x:c>
      <x:c r="N29" s="14" t="n">
        <x:v>4</x:v>
      </x:c>
      <x:c r="O29" s="14" t="n">
        <x:v>4</x:v>
      </x:c>
      <x:c r="P29" s="2" t="n">
        <x:f>SUM(K29:O29)</x:f>
        <x:v>18</x:v>
      </x:c>
      <x:c r="Q29" s="7" t="str">
        <x:v>C208 / Baron conditional</x:v>
      </x:c>
      <x:c r="R29" s="2" t="n">
        <x:f>IF(Catalogue!S29="","",Catalogue!S29)</x:f>
        <x:v>153.9</x:v>
      </x:c>
      <x:c r="S29" s="2" t="n">
        <x:f>IF(Catalogue!V29="","",Catalogue!V29)</x:f>
        <x:v>76</x:v>
      </x:c>
      <x:c r="T29" s="7" t="str">
        <x:v>Okorusu fluorspar mine — Urgent parts, tools, samples and specialists; aircraft-scale consignments only.</x:v>
      </x:c>
      <x:c r="U29" s="7" t="str">
        <x:v>Mine/airstrip association credible; current production and civil air access unresolved. Do not model active ore output.</x:v>
      </x:c>
      <x:c r="V29" s="2" t="n">
        <x:f>IF(AND(D29="Eligible purpose",OR(E29="Priority validation",E29="Extended network")),1,0)</x:f>
        <x:v>0</x:v>
      </x:c>
      <x:c r="W29" s="2" t="n">
        <x:f>IF(V29=1,J29+P29/1000+(1000-ROW())/1000000,-1)</x:f>
        <x:v>-1</x:v>
      </x:c>
      <x:c r="X29" s="2" t="str">
        <x:f>A29</x:f>
        <x:v>Industrial</x:v>
      </x:c>
      <x:c r="Y29" s="2" t="str">
        <x:f>B29</x:f>
        <x:v>FYKR</x:v>
      </x:c>
      <x:c r="Z29" s="2" t="str">
        <x:f>C29</x:f>
        <x:v>Okorusu Mine Airstrip</x:v>
      </x:c>
      <x:c r="AA29" s="2" t="n">
        <x:f>J29</x:f>
        <x:v>68</x:v>
      </x:c>
      <x:c r="AB29" s="2" t="n">
        <x:f>P29</x:f>
        <x:v>18</x:v>
      </x:c>
      <x:c r="AC29" s="2" t="str">
        <x:f>E29</x:f>
        <x:v>Research hold</x:v>
      </x:c>
      <x:c r="AD29" s="2" t="n">
        <x:f>IF(S29="","",S29)</x:f>
        <x:v>76</x:v>
      </x:c>
      <x:c r="AE29" s="2" t="str">
        <x:f>T29</x:f>
        <x:v>Okorusu fluorspar mine — Urgent parts, tools, samples and specialists; aircraft-scale consignments only.</x:v>
      </x:c>
    </x:row>
    <x:row r="30" ht="54" customHeight="1">
      <x:c r="A30" s="2" t="str">
        <x:v>Industrial</x:v>
      </x:c>
      <x:c r="B30" s="2" t="str">
        <x:v>FYTM</x:v>
      </x:c>
      <x:c r="C30" s="7" t="str">
        <x:v>Tsumeb Airport</x:v>
      </x:c>
      <x:c r="D30" s="7" t="str">
        <x:v>Eligible purpose</x:v>
      </x:c>
      <x:c r="E30" s="7" t="str">
        <x:v>Research hold</x:v>
      </x:c>
      <x:c r="F30" s="14" t="n">
        <x:v>4</x:v>
      </x:c>
      <x:c r="G30" s="14" t="n">
        <x:v>3</x:v>
      </x:c>
      <x:c r="H30" s="14" t="n">
        <x:v>5</x:v>
      </x:c>
      <x:c r="I30" s="14" t="n">
        <x:v>3</x:v>
      </x:c>
      <x:c r="J30" s="15" t="n">
        <x:f>IF(D30="Eligible purpose",20*SUMPRODUCT(F30:I30,'Aircraft and method'!$B$18:$E$18),"")</x:f>
        <x:v>76</x:v>
      </x:c>
      <x:c r="K30" s="14" t="n">
        <x:v>3</x:v>
      </x:c>
      <x:c r="L30" s="14" t="n">
        <x:v>3</x:v>
      </x:c>
      <x:c r="M30" s="14" t="n">
        <x:v>2</x:v>
      </x:c>
      <x:c r="N30" s="14" t="n">
        <x:v>2</x:v>
      </x:c>
      <x:c r="O30" s="14" t="n">
        <x:v>4</x:v>
      </x:c>
      <x:c r="P30" s="2" t="n">
        <x:f>SUM(K30:O30)</x:f>
        <x:v>14</x:v>
      </x:c>
      <x:c r="Q30" s="7" t="str">
        <x:v>C208 / Baron conditional</x:v>
      </x:c>
      <x:c r="R30" s="2" t="n">
        <x:f>IF(Catalogue!S30="","",Catalogue!S30)</x:f>
        <x:v>204</x:v>
      </x:c>
      <x:c r="S30" s="2" t="n">
        <x:f>IF(Catalogue!V30="","",Catalogue!V30)</x:f>
        <x:v>97</x:v>
      </x:c>
      <x:c r="T30" s="7" t="str">
        <x:v>Tsumeb smelter / recycling project — Urgent parts, tools, samples and specialists; aircraft-scale consignments only.</x:v>
      </x:c>
      <x:c r="U30" s="7" t="str">
        <x:v>2026 reporting says copper processing is in care and maintenance. Only maintenance/project specialists, not invented recurring active copper production.</x:v>
      </x:c>
      <x:c r="V30" s="2" t="n">
        <x:f>IF(AND(D30="Eligible purpose",OR(E30="Priority validation",E30="Extended network")),1,0)</x:f>
        <x:v>0</x:v>
      </x:c>
      <x:c r="W30" s="2" t="n">
        <x:f>IF(V30=1,J30+P30/1000+(1000-ROW())/1000000,-1)</x:f>
        <x:v>-1</x:v>
      </x:c>
      <x:c r="X30" s="2" t="str">
        <x:f>A30</x:f>
        <x:v>Industrial</x:v>
      </x:c>
      <x:c r="Y30" s="2" t="str">
        <x:f>B30</x:f>
        <x:v>FYTM</x:v>
      </x:c>
      <x:c r="Z30" s="2" t="str">
        <x:f>C30</x:f>
        <x:v>Tsumeb Airport</x:v>
      </x:c>
      <x:c r="AA30" s="2" t="n">
        <x:f>J30</x:f>
        <x:v>76</x:v>
      </x:c>
      <x:c r="AB30" s="2" t="n">
        <x:f>P30</x:f>
        <x:v>14</x:v>
      </x:c>
      <x:c r="AC30" s="2" t="str">
        <x:f>E30</x:f>
        <x:v>Research hold</x:v>
      </x:c>
      <x:c r="AD30" s="2" t="n">
        <x:f>IF(S30="","",S30)</x:f>
        <x:v>97</x:v>
      </x:c>
      <x:c r="AE30" s="2" t="str">
        <x:f>T30</x:f>
        <x:v>Tsumeb smelter / recycling project — Urgent parts, tools, samples and specialists; aircraft-scale consignments only.</x:v>
      </x:c>
    </x:row>
    <x:row r="31" ht="54" customHeight="1">
      <x:c r="A31" s="2" t="str">
        <x:v>Industrial</x:v>
      </x:c>
      <x:c r="B31" s="2" t="str">
        <x:v>FYKA</x:v>
      </x:c>
      <x:c r="C31" s="7" t="str">
        <x:v>Karibib Airport</x:v>
      </x:c>
      <x:c r="D31" s="7" t="str">
        <x:v>Eligible purpose</x:v>
      </x:c>
      <x:c r="E31" s="7" t="str">
        <x:v>Research hold</x:v>
      </x:c>
      <x:c r="F31" s="14" t="n">
        <x:v>5</x:v>
      </x:c>
      <x:c r="G31" s="14" t="n">
        <x:v>1</x:v>
      </x:c>
      <x:c r="H31" s="14" t="n">
        <x:v>5</x:v>
      </x:c>
      <x:c r="I31" s="14" t="n">
        <x:v>4</x:v>
      </x:c>
      <x:c r="J31" s="15" t="n">
        <x:f>IF(D31="Eligible purpose",20*SUMPRODUCT(F31:I31,'Aircraft and method'!$B$18:$E$18),"")</x:f>
        <x:v>80</x:v>
      </x:c>
      <x:c r="K31" s="14" t="n">
        <x:v>4</x:v>
      </x:c>
      <x:c r="L31" s="14" t="n">
        <x:v>4</x:v>
      </x:c>
      <x:c r="M31" s="14" t="n">
        <x:v>3</x:v>
      </x:c>
      <x:c r="N31" s="14" t="n">
        <x:v>3</x:v>
      </x:c>
      <x:c r="O31" s="14" t="n">
        <x:v>4</x:v>
      </x:c>
      <x:c r="P31" s="2" t="n">
        <x:f>SUM(K31:O31)</x:f>
        <x:v>18</x:v>
      </x:c>
      <x:c r="Q31" s="7" t="str">
        <x:v>C208 / Baron conditional</x:v>
      </x:c>
      <x:c r="R31" s="2" t="n">
        <x:f>IF(Catalogue!S31="","",Catalogue!S31)</x:f>
        <x:v>79.6</x:v>
      </x:c>
      <x:c r="S31" s="2" t="n">
        <x:f>IF(Catalogue!V31="","",Catalogue!V31)</x:f>
        <x:v>44</x:v>
      </x:c>
      <x:c r="T31" s="7" t="str">
        <x:v>Karibib / Navachab gold mining district — Urgent parts, tools, samples and specialists; aircraft-scale consignments only.</x:v>
      </x:c>
      <x:c r="U31" s="7" t="str">
        <x:v>FYKA associated with air force base; civil permission and actual mine transfer need verification.</x:v>
      </x:c>
      <x:c r="V31" s="2" t="n">
        <x:f>IF(AND(D31="Eligible purpose",OR(E31="Priority validation",E31="Extended network")),1,0)</x:f>
        <x:v>0</x:v>
      </x:c>
      <x:c r="W31" s="2" t="n">
        <x:f>IF(V31=1,J31+P31/1000+(1000-ROW())/1000000,-1)</x:f>
        <x:v>-1</x:v>
      </x:c>
      <x:c r="X31" s="2" t="str">
        <x:f>A31</x:f>
        <x:v>Industrial</x:v>
      </x:c>
      <x:c r="Y31" s="2" t="str">
        <x:f>B31</x:f>
        <x:v>FYKA</x:v>
      </x:c>
      <x:c r="Z31" s="2" t="str">
        <x:f>C31</x:f>
        <x:v>Karibib Airport</x:v>
      </x:c>
      <x:c r="AA31" s="2" t="n">
        <x:f>J31</x:f>
        <x:v>80</x:v>
      </x:c>
      <x:c r="AB31" s="2" t="n">
        <x:f>P31</x:f>
        <x:v>18</x:v>
      </x:c>
      <x:c r="AC31" s="2" t="str">
        <x:f>E31</x:f>
        <x:v>Research hold</x:v>
      </x:c>
      <x:c r="AD31" s="2" t="n">
        <x:f>IF(S31="","",S31)</x:f>
        <x:v>44</x:v>
      </x:c>
      <x:c r="AE31" s="2" t="str">
        <x:f>T31</x:f>
        <x:v>Karibib / Navachab gold mining district — Urgent parts, tools, samples and specialists; aircraft-scale consignments only.</x:v>
      </x:c>
    </x:row>
    <x:row r="32" ht="54" customHeight="1">
      <x:c r="A32" s="2" t="str">
        <x:v>Industrial</x:v>
      </x:c>
      <x:c r="B32" s="2" t="str">
        <x:v>FYSM</x:v>
      </x:c>
      <x:c r="C32" s="7" t="str">
        <x:v>Swakopmund Municipal Aerodrome</x:v>
      </x:c>
      <x:c r="D32" s="7" t="str">
        <x:v>Eligible purpose</x:v>
      </x:c>
      <x:c r="E32" s="7" t="str">
        <x:v>Priority validation</x:v>
      </x:c>
      <x:c r="F32" s="14" t="n">
        <x:v>4</x:v>
      </x:c>
      <x:c r="G32" s="14" t="n">
        <x:v>1</x:v>
      </x:c>
      <x:c r="H32" s="14" t="n">
        <x:v>5</x:v>
      </x:c>
      <x:c r="I32" s="14" t="n">
        <x:v>5</x:v>
      </x:c>
      <x:c r="J32" s="15" t="n">
        <x:f>IF(D32="Eligible purpose",20*SUMPRODUCT(F32:I32,'Aircraft and method'!$B$18:$E$18),"")</x:f>
        <x:v>76</x:v>
      </x:c>
      <x:c r="K32" s="14" t="n">
        <x:v>5</x:v>
      </x:c>
      <x:c r="L32" s="14" t="n">
        <x:v>3</x:v>
      </x:c>
      <x:c r="M32" s="14" t="n">
        <x:v>2</x:v>
      </x:c>
      <x:c r="N32" s="14" t="n">
        <x:v>2</x:v>
      </x:c>
      <x:c r="O32" s="14" t="n">
        <x:v>5</x:v>
      </x:c>
      <x:c r="P32" s="2" t="n">
        <x:f>SUM(K32:O32)</x:f>
        <x:v>17</x:v>
      </x:c>
      <x:c r="Q32" s="7" t="str">
        <x:v>C208 / Baron conditional</x:v>
      </x:c>
      <x:c r="R32" s="2" t="n">
        <x:f>IF(Catalogue!S32="","",Catalogue!S32)</x:f>
        <x:v>139.2</x:v>
      </x:c>
      <x:c r="S32" s="2" t="n">
        <x:f>IF(Catalogue!V32="","",Catalogue!V32)</x:f>
        <x:v>70</x:v>
      </x:c>
      <x:c r="T32" s="7" t="str">
        <x:v>Swakopmund uranium-service hub / Langer Heinrich road transfer — Urgent parts, tools, samples and specialists; aircraft-scale consignments only.</x:v>
      </x:c>
      <x:c r="U32" s="7" t="str">
        <x:v>Industrial spares/specialists plausible through city; mine is about 80 km east, not adjacent to runway.</x:v>
      </x:c>
      <x:c r="V32" s="2" t="n">
        <x:f>IF(AND(D32="Eligible purpose",OR(E32="Priority validation",E32="Extended network")),1,0)</x:f>
        <x:v>1</x:v>
      </x:c>
      <x:c r="W32" s="2" t="n">
        <x:f>IF(V32=1,J32+P32/1000+(1000-ROW())/1000000,-1)</x:f>
        <x:v>76.017968</x:v>
      </x:c>
      <x:c r="X32" s="2" t="str">
        <x:f>A32</x:f>
        <x:v>Industrial</x:v>
      </x:c>
      <x:c r="Y32" s="2" t="str">
        <x:f>B32</x:f>
        <x:v>FYSM</x:v>
      </x:c>
      <x:c r="Z32" s="2" t="str">
        <x:f>C32</x:f>
        <x:v>Swakopmund Municipal Aerodrome</x:v>
      </x:c>
      <x:c r="AA32" s="2" t="n">
        <x:f>J32</x:f>
        <x:v>76</x:v>
      </x:c>
      <x:c r="AB32" s="2" t="n">
        <x:f>P32</x:f>
        <x:v>17</x:v>
      </x:c>
      <x:c r="AC32" s="2" t="str">
        <x:f>E32</x:f>
        <x:v>Priority validation</x:v>
      </x:c>
      <x:c r="AD32" s="2" t="n">
        <x:f>IF(S32="","",S32)</x:f>
        <x:v>70</x:v>
      </x:c>
      <x:c r="AE32" s="2" t="str">
        <x:f>T32</x:f>
        <x:v>Swakopmund uranium-service hub / Langer Heinrich road transfer — Urgent parts, tools, samples and specialists; aircraft-scale consignments only.</x:v>
      </x:c>
    </x:row>
    <x:row r="33" ht="54" customHeight="1">
      <x:c r="A33" s="2" t="str">
        <x:v>Industrial</x:v>
      </x:c>
      <x:c r="B33" s="2" t="str">
        <x:v>FYWB</x:v>
      </x:c>
      <x:c r="C33" s="7" t="str">
        <x:v>Walvis Bay International Airport</x:v>
      </x:c>
      <x:c r="D33" s="7" t="str">
        <x:v>Eligible purpose</x:v>
      </x:c>
      <x:c r="E33" s="7" t="str">
        <x:v>Priority validation</x:v>
      </x:c>
      <x:c r="F33" s="14" t="n">
        <x:v>5</x:v>
      </x:c>
      <x:c r="G33" s="14" t="n">
        <x:v>5</x:v>
      </x:c>
      <x:c r="H33" s="14" t="n">
        <x:v>5</x:v>
      </x:c>
      <x:c r="I33" s="14" t="n">
        <x:v>5</x:v>
      </x:c>
      <x:c r="J33" s="15" t="n">
        <x:f>IF(D33="Eligible purpose",20*SUMPRODUCT(F33:I33,'Aircraft and method'!$B$18:$E$18),"")</x:f>
        <x:v>100</x:v>
      </x:c>
      <x:c r="K33" s="14" t="n">
        <x:v>5</x:v>
      </x:c>
      <x:c r="L33" s="14" t="n">
        <x:v>3</x:v>
      </x:c>
      <x:c r="M33" s="14" t="n">
        <x:v>1</x:v>
      </x:c>
      <x:c r="N33" s="14" t="n">
        <x:v>2</x:v>
      </x:c>
      <x:c r="O33" s="14" t="n">
        <x:v>5</x:v>
      </x:c>
      <x:c r="P33" s="2" t="n">
        <x:f>SUM(K33:O33)</x:f>
        <x:v>16</x:v>
      </x:c>
      <x:c r="Q33" s="7" t="str">
        <x:v>C208 / Baron conditional</x:v>
      </x:c>
      <x:c r="R33" s="2" t="n">
        <x:f>IF(Catalogue!S33="","",Catalogue!S33)</x:f>
        <x:v>136.5</x:v>
      </x:c>
      <x:c r="S33" s="2" t="n">
        <x:f>IF(Catalogue!V33="","",Catalogue!V33)</x:f>
        <x:v>69</x:v>
      </x:c>
      <x:c r="T33" s="7" t="str">
        <x:v>Walvis Bay port, repair and logistics industries — Urgent parts, tools, samples and specialists; aircraft-scale consignments only.</x:v>
      </x:c>
      <x:c r="U33" s="7" t="str">
        <x:v>Retain industrial destination; Offshore base/return only. Not a dedicated mine strip.</x:v>
      </x:c>
      <x:c r="V33" s="2" t="n">
        <x:f>IF(AND(D33="Eligible purpose",OR(E33="Priority validation",E33="Extended network")),1,0)</x:f>
        <x:v>1</x:v>
      </x:c>
      <x:c r="W33" s="2" t="n">
        <x:f>IF(V33=1,J33+P33/1000+(1000-ROW())/1000000,-1)</x:f>
        <x:v>100.01696700000001</x:v>
      </x:c>
      <x:c r="X33" s="2" t="str">
        <x:f>A33</x:f>
        <x:v>Industrial</x:v>
      </x:c>
      <x:c r="Y33" s="2" t="str">
        <x:f>B33</x:f>
        <x:v>FYWB</x:v>
      </x:c>
      <x:c r="Z33" s="2" t="str">
        <x:f>C33</x:f>
        <x:v>Walvis Bay International Airport</x:v>
      </x:c>
      <x:c r="AA33" s="2" t="n">
        <x:f>J33</x:f>
        <x:v>100</x:v>
      </x:c>
      <x:c r="AB33" s="2" t="n">
        <x:f>P33</x:f>
        <x:v>16</x:v>
      </x:c>
      <x:c r="AC33" s="2" t="str">
        <x:f>E33</x:f>
        <x:v>Priority validation</x:v>
      </x:c>
      <x:c r="AD33" s="2" t="n">
        <x:f>IF(S33="","",S33)</x:f>
        <x:v>69</x:v>
      </x:c>
      <x:c r="AE33" s="2" t="str">
        <x:f>T33</x:f>
        <x:v>Walvis Bay port, repair and logistics industries — Urgent parts, tools, samples and specialists; aircraft-scale consignments only.</x:v>
      </x:c>
    </x:row>
    <x:row r="34" ht="68" customHeight="1">
      <x:c r="A34" s="2" t="str">
        <x:v>Industrial</x:v>
      </x:c>
      <x:c r="B34" s="2" t="str">
        <x:v>FYRP</x:v>
      </x:c>
      <x:c r="C34" s="7" t="str">
        <x:v>Rosh Pinah Zinc and southern mining town</x:v>
      </x:c>
      <x:c r="D34" s="7" t="str">
        <x:v>Eligible purpose</x:v>
      </x:c>
      <x:c r="E34" s="7" t="str">
        <x:v>Research hold</x:v>
      </x:c>
      <x:c r="F34" s="14" t="n">
        <x:v>5</x:v>
      </x:c>
      <x:c r="G34" s="14" t="n">
        <x:v>0</x:v>
      </x:c>
      <x:c r="H34" s="14" t="n">
        <x:v>3</x:v>
      </x:c>
      <x:c r="I34" s="14" t="n">
        <x:v>4</x:v>
      </x:c>
      <x:c r="J34" s="15" t="n">
        <x:f>IF(D34="Eligible purpose",20*SUMPRODUCT(F34:I34,'Aircraft and method'!$B$18:$E$18),"")</x:f>
        <x:v>68</x:v>
      </x:c>
      <x:c r="K34" s="14" t="n">
        <x:v>5</x:v>
      </x:c>
      <x:c r="L34" s="14" t="n">
        <x:v>4</x:v>
      </x:c>
      <x:c r="M34" s="14" t="n">
        <x:v>3</x:v>
      </x:c>
      <x:c r="N34" s="14" t="n">
        <x:v>4</x:v>
      </x:c>
      <x:c r="O34" s="14" t="n">
        <x:v>5</x:v>
      </x:c>
      <x:c r="P34" s="2" t="n">
        <x:f>SUM(K34:O34)</x:f>
        <x:v>21</x:v>
      </x:c>
      <x:c r="Q34" s="7" t="str">
        <x:v>C208 / Baron conditional</x:v>
      </x:c>
      <x:c r="R34" s="2" t="n">
        <x:f>IF(Catalogue!S34="","",Catalogue!S34)</x:f>
        <x:v>322.3</x:v>
      </x:c>
      <x:c r="S34" s="2" t="n">
        <x:f>IF(Catalogue!V34="","",Catalogue!V34)</x:f>
        <x:v>148</x:v>
      </x:c>
      <x:c r="T34" s="7" t="str">
        <x:v>Rosh Pinah Zinc and southern mining town — Urgent parts, tools, samples and specialists; aircraft-scale consignments only.</x:v>
      </x:c>
      <x:c r="U34" s="7" t="str">
        <x:v>Legacy FYRP now uses NA-0180 in OurAirports; X-Plane marks old code deprecated/typically closed. Current landing status unresolved. Rosh Pinah Zinc produces; nearby Skorpion is care and maintenance. Do not conflate them.</x:v>
      </x:c>
      <x:c r="V34" s="2" t="n">
        <x:f>IF(AND(D34="Eligible purpose",OR(E34="Priority validation",E34="Extended network")),1,0)</x:f>
        <x:v>0</x:v>
      </x:c>
      <x:c r="W34" s="2" t="n">
        <x:f>IF(V34=1,J34+P34/1000+(1000-ROW())/1000000,-1)</x:f>
        <x:v>-1</x:v>
      </x:c>
      <x:c r="X34" s="2" t="str">
        <x:f>A34</x:f>
        <x:v>Industrial</x:v>
      </x:c>
      <x:c r="Y34" s="2" t="str">
        <x:f>B34</x:f>
        <x:v>FYRP</x:v>
      </x:c>
      <x:c r="Z34" s="2" t="str">
        <x:f>C34</x:f>
        <x:v>Rosh Pinah Zinc and southern mining town</x:v>
      </x:c>
      <x:c r="AA34" s="2" t="n">
        <x:f>J34</x:f>
        <x:v>68</x:v>
      </x:c>
      <x:c r="AB34" s="2" t="n">
        <x:f>P34</x:f>
        <x:v>21</x:v>
      </x:c>
      <x:c r="AC34" s="2" t="str">
        <x:f>E34</x:f>
        <x:v>Research hold</x:v>
      </x:c>
      <x:c r="AD34" s="2" t="n">
        <x:f>IF(S34="","",S34)</x:f>
        <x:v>148</x:v>
      </x:c>
      <x:c r="AE34" s="2" t="str">
        <x:f>T34</x:f>
        <x:v>Rosh Pinah Zinc and southern mining town — Urgent parts, tools, samples and specialists; aircraft-scale consignments only.</x:v>
      </x:c>
    </x:row>
    <x:row r="35" ht="54" customHeight="1">
      <x:c r="A35" s="2" t="str">
        <x:v>Industrial</x:v>
      </x:c>
      <x:c r="B35" s="2" t="str">
        <x:v>FYOG</x:v>
      </x:c>
      <x:c r="C35" s="7" t="str">
        <x:v>Oranjemund Airport</x:v>
      </x:c>
      <x:c r="D35" s="7" t="str">
        <x:v>Eligible purpose</x:v>
      </x:c>
      <x:c r="E35" s="7" t="str">
        <x:v>Priority validation</x:v>
      </x:c>
      <x:c r="F35" s="14" t="n">
        <x:v>5</x:v>
      </x:c>
      <x:c r="G35" s="14" t="n">
        <x:v>3</x:v>
      </x:c>
      <x:c r="H35" s="14" t="n">
        <x:v>3</x:v>
      </x:c>
      <x:c r="I35" s="14" t="n">
        <x:v>5</x:v>
      </x:c>
      <x:c r="J35" s="15" t="n">
        <x:f>IF(D35="Eligible purpose",20*SUMPRODUCT(F35:I35,'Aircraft and method'!$B$18:$E$18),"")</x:f>
        <x:v>84</x:v>
      </x:c>
      <x:c r="K35" s="14" t="n">
        <x:v>5</x:v>
      </x:c>
      <x:c r="L35" s="14" t="n">
        <x:v>4</x:v>
      </x:c>
      <x:c r="M35" s="14" t="n">
        <x:v>1</x:v>
      </x:c>
      <x:c r="N35" s="14" t="n">
        <x:v>4</x:v>
      </x:c>
      <x:c r="O35" s="14" t="n">
        <x:v>5</x:v>
      </x:c>
      <x:c r="P35" s="2" t="n">
        <x:f>SUM(K35:O35)</x:f>
        <x:v>19</x:v>
      </x:c>
      <x:c r="Q35" s="7" t="str">
        <x:v>C208 / Baron conditional</x:v>
      </x:c>
      <x:c r="R35" s="2" t="n">
        <x:f>IF(Catalogue!S35="","",Catalogue!S35)</x:f>
        <x:v>360.7</x:v>
      </x:c>
      <x:c r="S35" s="2" t="n">
        <x:f>IF(Catalogue!V35="","",Catalogue!V35)</x:f>
        <x:v>164</x:v>
      </x:c>
      <x:c r="T35" s="7" t="str">
        <x:v>Oranjemund diamond industry and marine logistics — Urgent parts, tools, samples and specialists; aircraft-scale consignments only.</x:v>
      </x:c>
      <x:c r="U35" s="7" t="str">
        <x:v>Airborne crew chain documented. Main runway only; two closed gravel runways excluded.</x:v>
      </x:c>
      <x:c r="V35" s="2" t="n">
        <x:f>IF(AND(D35="Eligible purpose",OR(E35="Priority validation",E35="Extended network")),1,0)</x:f>
        <x:v>1</x:v>
      </x:c>
      <x:c r="W35" s="2" t="n">
        <x:f>IF(V35=1,J35+P35/1000+(1000-ROW())/1000000,-1)</x:f>
        <x:v>84.019965</x:v>
      </x:c>
      <x:c r="X35" s="2" t="str">
        <x:f>A35</x:f>
        <x:v>Industrial</x:v>
      </x:c>
      <x:c r="Y35" s="2" t="str">
        <x:f>B35</x:f>
        <x:v>FYOG</x:v>
      </x:c>
      <x:c r="Z35" s="2" t="str">
        <x:f>C35</x:f>
        <x:v>Oranjemund Airport</x:v>
      </x:c>
      <x:c r="AA35" s="2" t="n">
        <x:f>J35</x:f>
        <x:v>84</x:v>
      </x:c>
      <x:c r="AB35" s="2" t="n">
        <x:f>P35</x:f>
        <x:v>19</x:v>
      </x:c>
      <x:c r="AC35" s="2" t="str">
        <x:f>E35</x:f>
        <x:v>Priority validation</x:v>
      </x:c>
      <x:c r="AD35" s="2" t="n">
        <x:f>IF(S35="","",S35)</x:f>
        <x:v>164</x:v>
      </x:c>
      <x:c r="AE35" s="2" t="str">
        <x:f>T35</x:f>
        <x:v>Oranjemund diamond industry and marine logistics — Urgent parts, tools, samples and specialists; aircraft-scale consignments only.</x:v>
      </x:c>
    </x:row>
    <x:row r="36" ht="54" customHeight="1">
      <x:c r="A36" s="2" t="str">
        <x:v>Industrial</x:v>
      </x:c>
      <x:c r="B36" s="2" t="str">
        <x:v>FYLZ</x:v>
      </x:c>
      <x:c r="C36" s="7" t="str">
        <x:v>Luderitz Airport</x:v>
      </x:c>
      <x:c r="D36" s="7" t="str">
        <x:v>Eligible purpose</x:v>
      </x:c>
      <x:c r="E36" s="7" t="str">
        <x:v>Priority validation</x:v>
      </x:c>
      <x:c r="F36" s="14" t="n">
        <x:v>5</x:v>
      </x:c>
      <x:c r="G36" s="14" t="n">
        <x:v>4</x:v>
      </x:c>
      <x:c r="H36" s="14" t="n">
        <x:v>4</x:v>
      </x:c>
      <x:c r="I36" s="14" t="n">
        <x:v>5</x:v>
      </x:c>
      <x:c r="J36" s="15" t="n">
        <x:f>IF(D36="Eligible purpose",20*SUMPRODUCT(F36:I36,'Aircraft and method'!$B$18:$E$18),"")</x:f>
        <x:v>92</x:v>
      </x:c>
      <x:c r="K36" s="14" t="n">
        <x:v>5</x:v>
      </x:c>
      <x:c r="L36" s="14" t="n">
        <x:v>4</x:v>
      </x:c>
      <x:c r="M36" s="14" t="n">
        <x:v>2</x:v>
      </x:c>
      <x:c r="N36" s="14" t="n">
        <x:v>4</x:v>
      </x:c>
      <x:c r="O36" s="14" t="n">
        <x:v>5</x:v>
      </x:c>
      <x:c r="P36" s="2" t="n">
        <x:f>SUM(K36:O36)</x:f>
        <x:v>20</x:v>
      </x:c>
      <x:c r="Q36" s="7" t="str">
        <x:v>C208 / Baron conditional</x:v>
      </x:c>
      <x:c r="R36" s="2" t="n">
        <x:f>IF(Catalogue!S36="","",Catalogue!S36)</x:f>
        <x:v>264.8</x:v>
      </x:c>
      <x:c r="S36" s="2" t="n">
        <x:f>IF(Catalogue!V36="","",Catalogue!V36)</x:f>
        <x:v>123</x:v>
      </x:c>
      <x:c r="T36" s="7" t="str">
        <x:v>Lüderitz fishing, mining exports and offshore support port — Urgent parts, tools, samples and specialists; aircraft-scale consignments only.</x:v>
      </x:c>
      <x:c r="U36" s="7" t="str">
        <x:v>High-value dual-career hub. Airport to port needs road transfer; no airport deck assumed.</x:v>
      </x:c>
      <x:c r="V36" s="2" t="n">
        <x:f>IF(AND(D36="Eligible purpose",OR(E36="Priority validation",E36="Extended network")),1,0)</x:f>
        <x:v>1</x:v>
      </x:c>
      <x:c r="W36" s="2" t="n">
        <x:f>IF(V36=1,J36+P36/1000+(1000-ROW())/1000000,-1)</x:f>
        <x:v>92.02096399999999</x:v>
      </x:c>
      <x:c r="X36" s="2" t="str">
        <x:f>A36</x:f>
        <x:v>Industrial</x:v>
      </x:c>
      <x:c r="Y36" s="2" t="str">
        <x:f>B36</x:f>
        <x:v>FYLZ</x:v>
      </x:c>
      <x:c r="Z36" s="2" t="str">
        <x:f>C36</x:f>
        <x:v>Luderitz Airport</x:v>
      </x:c>
      <x:c r="AA36" s="2" t="n">
        <x:f>J36</x:f>
        <x:v>92</x:v>
      </x:c>
      <x:c r="AB36" s="2" t="n">
        <x:f>P36</x:f>
        <x:v>20</x:v>
      </x:c>
      <x:c r="AC36" s="2" t="str">
        <x:f>E36</x:f>
        <x:v>Priority validation</x:v>
      </x:c>
      <x:c r="AD36" s="2" t="n">
        <x:f>IF(S36="","",S36)</x:f>
        <x:v>123</x:v>
      </x:c>
      <x:c r="AE36" s="2" t="str">
        <x:f>T36</x:f>
        <x:v>Lüderitz fishing, mining exports and offshore support port — Urgent parts, tools, samples and specialists; aircraft-scale consignments only.</x:v>
      </x:c>
    </x:row>
    <x:row r="37" ht="42" customHeight="1">
      <x:c r="A37" s="2" t="str">
        <x:v>Industrial</x:v>
      </x:c>
      <x:c r="B37" s="2" t="str">
        <x:v>FYGF</x:v>
      </x:c>
      <x:c r="C37" s="7" t="str">
        <x:v>Grootfontein Airport</x:v>
      </x:c>
      <x:c r="D37" s="7" t="str">
        <x:v>Ineligible purpose</x:v>
      </x:c>
      <x:c r="E37" s="7" t="str">
        <x:v>Research hold</x:v>
      </x:c>
      <x:c r="F37" s="14"/>
      <x:c r="G37" s="14"/>
      <x:c r="H37" s="14"/>
      <x:c r="I37" s="14"/>
      <x:c r="J37" s="15" t="str">
        <x:f>IF(D37="Eligible purpose",20*SUMPRODUCT(F37:I37,'Aircraft and method'!$B$18:$E$18),"")</x:f>
      </x:c>
      <x:c r="K37" s="14" t="n">
        <x:v>3</x:v>
      </x:c>
      <x:c r="L37" s="14" t="n">
        <x:v>2</x:v>
      </x:c>
      <x:c r="M37" s="14" t="n">
        <x:v>1</x:v>
      </x:c>
      <x:c r="N37" s="14" t="n">
        <x:v>2</x:v>
      </x:c>
      <x:c r="O37" s="14" t="n">
        <x:v>3</x:v>
      </x:c>
      <x:c r="P37" s="2" t="n">
        <x:f>SUM(K37:O37)</x:f>
        <x:v>11</x:v>
      </x:c>
      <x:c r="Q37" s="7" t="str">
        <x:v>C208 / Baron conditional</x:v>
      </x:c>
      <x:c r="R37" s="2" t="n">
        <x:f>IF(Catalogue!S37="","",Catalogue!S37)</x:f>
        <x:v>189.5</x:v>
      </x:c>
      <x:c r="S37" s="2" t="n">
        <x:f>IF(Catalogue!V37="","",Catalogue!V37)</x:f>
        <x:v>91</x:v>
      </x:c>
      <x:c r="T37" s="7" t="str">
        <x:v>Grootfontein regional logistics — Urgent parts, tools, samples and specialists; aircraft-scale consignments only.</x:v>
      </x:c>
      <x:c r="U37" s="7" t="str">
        <x:v>Existing pool member, but no specific industrial customer established in this pass; military access and purpose need research.</x:v>
      </x:c>
      <x:c r="V37" s="2" t="n">
        <x:f>IF(AND(D37="Eligible purpose",OR(E37="Priority validation",E37="Extended network")),1,0)</x:f>
        <x:v>0</x:v>
      </x:c>
      <x:c r="W37" s="2" t="n">
        <x:f>IF(V37=1,J37+P37/1000+(1000-ROW())/1000000,-1)</x:f>
        <x:v>-1</x:v>
      </x:c>
      <x:c r="X37" s="2" t="str">
        <x:f>A37</x:f>
        <x:v>Industrial</x:v>
      </x:c>
      <x:c r="Y37" s="2" t="str">
        <x:f>B37</x:f>
        <x:v>FYGF</x:v>
      </x:c>
      <x:c r="Z37" s="2" t="str">
        <x:f>C37</x:f>
        <x:v>Grootfontein Airport</x:v>
      </x:c>
      <x:c r="AA37" s="2" t="str">
        <x:f>J37</x:f>
      </x:c>
      <x:c r="AB37" s="2" t="n">
        <x:f>P37</x:f>
        <x:v>11</x:v>
      </x:c>
      <x:c r="AC37" s="2" t="str">
        <x:f>E37</x:f>
        <x:v>Research hold</x:v>
      </x:c>
      <x:c r="AD37" s="2" t="n">
        <x:f>IF(S37="","",S37)</x:f>
        <x:v>91</x:v>
      </x:c>
      <x:c r="AE37" s="2" t="str">
        <x:f>T37</x:f>
        <x:v>Grootfontein regional logistics — Urgent parts, tools, samples and specialists; aircraft-scale consignments only.</x:v>
      </x:c>
    </x:row>
    <x:row r="38" ht="54" customHeight="1">
      <x:c r="A38" s="2" t="str">
        <x:v>Safari</x:v>
      </x:c>
      <x:c r="B38" s="2" t="str">
        <x:v>FYNG</x:v>
      </x:c>
      <x:c r="C38" s="7" t="str">
        <x:v>Ongava Lodge Airstrip</x:v>
      </x:c>
      <x:c r="D38" s="7" t="str">
        <x:v>Eligible purpose</x:v>
      </x:c>
      <x:c r="E38" s="7" t="str">
        <x:v>Hold: identifier/location conflict</x:v>
      </x:c>
      <x:c r="F38" s="14" t="n">
        <x:v>5</x:v>
      </x:c>
      <x:c r="G38" s="14" t="n">
        <x:v>3</x:v>
      </x:c>
      <x:c r="H38" s="14" t="n">
        <x:v>5</x:v>
      </x:c>
      <x:c r="I38" s="14" t="n">
        <x:v>5</x:v>
      </x:c>
      <x:c r="J38" s="15" t="n">
        <x:f>IF(D38="Eligible purpose",20*SUMPRODUCT(F38:I38,'Aircraft and method'!$B$17:$E$17),"")</x:f>
        <x:v>94</x:v>
      </x:c>
      <x:c r="K38" s="14" t="n">
        <x:v>4</x:v>
      </x:c>
      <x:c r="L38" s="14" t="n">
        <x:v>3</x:v>
      </x:c>
      <x:c r="M38" s="14" t="n">
        <x:v>2</x:v>
      </x:c>
      <x:c r="N38" s="14" t="n">
        <x:v>3</x:v>
      </x:c>
      <x:c r="O38" s="14" t="n">
        <x:v>4</x:v>
      </x:c>
      <x:c r="P38" s="2" t="n">
        <x:f>SUM(K38:O38)</x:f>
        <x:v>16</x:v>
      </x:c>
      <x:c r="Q38" s="7" t="str">
        <x:v>Bonanza / PA-28 / Savage Cub conditional</x:v>
      </x:c>
      <x:c r="R38" s="2" t="n">
        <x:f>IF(Catalogue!S38="","",Catalogue!S38)</x:f>
        <x:v>207.3</x:v>
      </x:c>
      <x:c r="S38" s="2" t="n">
        <x:f>IF(Catalogue!X38="","",Catalogue!X38)</x:f>
        <x:v>99</x:v>
      </x:c>
      <x:c r="T38" s="7" t="str">
        <x:v>Ongava Private Game Reserve and lodges — Lodge/park staff, supplies and conservation equipment now; guest transport only through separately approved passenger capability.</x:v>
      </x:c>
      <x:c r="U38" s="7" t="str">
        <x:v>Operator confirms 1,200 m strip; cached FYNG instead lies near Betesda in southern Namibia. Hold simulator association.</x:v>
      </x:c>
      <x:c r="V38" s="2" t="n">
        <x:f>IF(AND(D38="Eligible purpose",OR(E38="Priority validation",E38="Extended network")),1,0)</x:f>
        <x:v>0</x:v>
      </x:c>
      <x:c r="W38" s="2" t="n">
        <x:f>IF(V38=1,J38+P38/1000+(1000-ROW())/1000000,-1)</x:f>
        <x:v>-1</x:v>
      </x:c>
      <x:c r="X38" s="2" t="str">
        <x:f>A38</x:f>
        <x:v>Safari</x:v>
      </x:c>
      <x:c r="Y38" s="2" t="str">
        <x:f>B38</x:f>
        <x:v>FYNG</x:v>
      </x:c>
      <x:c r="Z38" s="2" t="str">
        <x:f>C38</x:f>
        <x:v>Ongava Lodge Airstrip</x:v>
      </x:c>
      <x:c r="AA38" s="2" t="n">
        <x:f>J38</x:f>
        <x:v>94</x:v>
      </x:c>
      <x:c r="AB38" s="2" t="n">
        <x:f>P38</x:f>
        <x:v>16</x:v>
      </x:c>
      <x:c r="AC38" s="2" t="str">
        <x:f>E38</x:f>
        <x:v>Hold: identifier/location conflict</x:v>
      </x:c>
      <x:c r="AD38" s="2" t="n">
        <x:f>IF(S38="","",S38)</x:f>
        <x:v>99</x:v>
      </x:c>
      <x:c r="AE38" s="2" t="str">
        <x:f>T38</x:f>
        <x:v>Ongava Private Game Reserve and lodges — Lodge/park staff, supplies and conservation equipment now; guest transport only through separately approved passenger capability.</x:v>
      </x:c>
    </x:row>
    <x:row r="39" ht="54" customHeight="1">
      <x:c r="A39" s="2" t="str">
        <x:v>Safari</x:v>
      </x:c>
      <x:c r="B39" s="2" t="str">
        <x:v>FYMO</x:v>
      </x:c>
      <x:c r="C39" s="7" t="str">
        <x:v>Mokuti Lodge Airport</x:v>
      </x:c>
      <x:c r="D39" s="7" t="str">
        <x:v>Eligible purpose</x:v>
      </x:c>
      <x:c r="E39" s="7" t="str">
        <x:v>Priority validation</x:v>
      </x:c>
      <x:c r="F39" s="14" t="n">
        <x:v>5</x:v>
      </x:c>
      <x:c r="G39" s="14" t="n">
        <x:v>3</x:v>
      </x:c>
      <x:c r="H39" s="14" t="n">
        <x:v>4</x:v>
      </x:c>
      <x:c r="I39" s="14" t="n">
        <x:v>5</x:v>
      </x:c>
      <x:c r="J39" s="15" t="n">
        <x:f>IF(D39="Eligible purpose",20*SUMPRODUCT(F39:I39,'Aircraft and method'!$B$17:$E$17),"")</x:f>
        <x:v>90</x:v>
      </x:c>
      <x:c r="K39" s="14" t="n">
        <x:v>4</x:v>
      </x:c>
      <x:c r="L39" s="14" t="n">
        <x:v>3</x:v>
      </x:c>
      <x:c r="M39" s="14" t="n">
        <x:v>2</x:v>
      </x:c>
      <x:c r="N39" s="14" t="n">
        <x:v>3</x:v>
      </x:c>
      <x:c r="O39" s="14" t="n">
        <x:v>4</x:v>
      </x:c>
      <x:c r="P39" s="2" t="n">
        <x:f>SUM(K39:O39)</x:f>
        <x:v>16</x:v>
      </x:c>
      <x:c r="Q39" s="7" t="str">
        <x:v>Bonanza / PA-28 / Savage Cub conditional</x:v>
      </x:c>
      <x:c r="R39" s="2" t="n">
        <x:f>IF(Catalogue!S39="","",Catalogue!S39)</x:f>
        <x:v>227.7</x:v>
      </x:c>
      <x:c r="S39" s="2" t="n">
        <x:f>IF(Catalogue!X39="","",Catalogue!X39)</x:f>
        <x:v>107</x:v>
      </x:c>
      <x:c r="T39" s="7" t="str">
        <x:v>Mokuti / Onguma tourism transfer — Lodge/park staff, supplies and conservation equipment now; guest transport only through separately approved passenger capability.</x:v>
      </x:c>
      <x:c r="U39" s="7" t="str">
        <x:v>Historical Mokuti factsheet: 2200 x 30 m, approx first 1500 m concrete from 08, remaining gravel, 08/26, daylight only; recency and usable declared distances need verification.</x:v>
      </x:c>
      <x:c r="V39" s="2" t="n">
        <x:f>IF(AND(D39="Eligible purpose",OR(E39="Priority validation",E39="Extended network")),1,0)</x:f>
        <x:v>1</x:v>
      </x:c>
      <x:c r="W39" s="2" t="n">
        <x:f>IF(V39=1,J39+P39/1000+(1000-ROW())/1000000,-1)</x:f>
        <x:v>90.01696100000001</x:v>
      </x:c>
      <x:c r="X39" s="2" t="str">
        <x:f>A39</x:f>
        <x:v>Safari</x:v>
      </x:c>
      <x:c r="Y39" s="2" t="str">
        <x:f>B39</x:f>
        <x:v>FYMO</x:v>
      </x:c>
      <x:c r="Z39" s="2" t="str">
        <x:f>C39</x:f>
        <x:v>Mokuti Lodge Airport</x:v>
      </x:c>
      <x:c r="AA39" s="2" t="n">
        <x:f>J39</x:f>
        <x:v>90</x:v>
      </x:c>
      <x:c r="AB39" s="2" t="n">
        <x:f>P39</x:f>
        <x:v>16</x:v>
      </x:c>
      <x:c r="AC39" s="2" t="str">
        <x:f>E39</x:f>
        <x:v>Priority validation</x:v>
      </x:c>
      <x:c r="AD39" s="2" t="n">
        <x:f>IF(S39="","",S39)</x:f>
        <x:v>107</x:v>
      </x:c>
      <x:c r="AE39" s="2" t="str">
        <x:f>T39</x:f>
        <x:v>Mokuti / Onguma tourism transfer — Lodge/park staff, supplies and conservation equipment now; guest transport only through separately approved passenger capability.</x:v>
      </x:c>
    </x:row>
    <x:row r="40" ht="54" customHeight="1">
      <x:c r="A40" s="2" t="str">
        <x:v>Safari</x:v>
      </x:c>
      <x:c r="B40" s="2" t="str">
        <x:v>FYTF</x:v>
      </x:c>
      <x:c r="C40" s="7" t="str">
        <x:v>Twyfelfontein Airport</x:v>
      </x:c>
      <x:c r="D40" s="7" t="str">
        <x:v>Eligible purpose</x:v>
      </x:c>
      <x:c r="E40" s="7" t="str">
        <x:v>Priority validation</x:v>
      </x:c>
      <x:c r="F40" s="14" t="n">
        <x:v>5</x:v>
      </x:c>
      <x:c r="G40" s="14" t="n">
        <x:v>2</x:v>
      </x:c>
      <x:c r="H40" s="14" t="n">
        <x:v>5</x:v>
      </x:c>
      <x:c r="I40" s="14" t="n">
        <x:v>5</x:v>
      </x:c>
      <x:c r="J40" s="15" t="n">
        <x:f>IF(D40="Eligible purpose",20*SUMPRODUCT(F40:I40,'Aircraft and method'!$B$17:$E$17),"")</x:f>
        <x:v>91</x:v>
      </x:c>
      <x:c r="K40" s="14" t="n">
        <x:v>5</x:v>
      </x:c>
      <x:c r="L40" s="14" t="n">
        <x:v>4</x:v>
      </x:c>
      <x:c r="M40" s="14" t="n">
        <x:v>2</x:v>
      </x:c>
      <x:c r="N40" s="14" t="n">
        <x:v>4</x:v>
      </x:c>
      <x:c r="O40" s="14" t="n">
        <x:v>5</x:v>
      </x:c>
      <x:c r="P40" s="2" t="n">
        <x:f>SUM(K40:O40)</x:f>
        <x:v>20</x:v>
      </x:c>
      <x:c r="Q40" s="7" t="str">
        <x:v>Bonanza / PA-28 / Savage Cub conditional</x:v>
      </x:c>
      <x:c r="R40" s="2" t="n">
        <x:f>IF(Catalogue!S40="","",Catalogue!S40)</x:f>
        <x:v>195.9</x:v>
      </x:c>
      <x:c r="S40" s="2" t="n">
        <x:f>IF(Catalogue!X40="","",Catalogue!X40)</x:f>
        <x:v>94</x:v>
      </x:c>
      <x:c r="T40" s="7" t="str">
        <x:v>Twyfelfontein Country Lodge and rock-art access — Lodge/park staff, supplies and conservation equipment now; guest transport only through separately approved passenger capability.</x:v>
      </x:c>
      <x:c r="U40" s="7" t="str">
        <x:v>Official EMP links lodge guest/flood access to strip 3 km north. Conflict: OurAirports approx 1996 m asphalt vs operator 2200 m gravel. Absent in recorded simulator list.</x:v>
      </x:c>
      <x:c r="V40" s="2" t="n">
        <x:f>IF(AND(D40="Eligible purpose",OR(E40="Priority validation",E40="Extended network")),1,0)</x:f>
        <x:v>1</x:v>
      </x:c>
      <x:c r="W40" s="2" t="n">
        <x:f>IF(V40=1,J40+P40/1000+(1000-ROW())/1000000,-1)</x:f>
        <x:v>91.02096</x:v>
      </x:c>
      <x:c r="X40" s="2" t="str">
        <x:f>A40</x:f>
        <x:v>Safari</x:v>
      </x:c>
      <x:c r="Y40" s="2" t="str">
        <x:f>B40</x:f>
        <x:v>FYTF</x:v>
      </x:c>
      <x:c r="Z40" s="2" t="str">
        <x:f>C40</x:f>
        <x:v>Twyfelfontein Airport</x:v>
      </x:c>
      <x:c r="AA40" s="2" t="n">
        <x:f>J40</x:f>
        <x:v>91</x:v>
      </x:c>
      <x:c r="AB40" s="2" t="n">
        <x:f>P40</x:f>
        <x:v>20</x:v>
      </x:c>
      <x:c r="AC40" s="2" t="str">
        <x:f>E40</x:f>
        <x:v>Priority validation</x:v>
      </x:c>
      <x:c r="AD40" s="2" t="n">
        <x:f>IF(S40="","",S40)</x:f>
        <x:v>94</x:v>
      </x:c>
      <x:c r="AE40" s="2" t="str">
        <x:f>T40</x:f>
        <x:v>Twyfelfontein Country Lodge and rock-art access — Lodge/park staff, supplies and conservation equipment now; guest transport only through separately approved passenger capability.</x:v>
      </x:c>
    </x:row>
    <x:row r="41" ht="54" customHeight="1">
      <x:c r="A41" s="2" t="str">
        <x:v>Safari</x:v>
      </x:c>
      <x:c r="B41" s="2" t="str">
        <x:v>NA-0030</x:v>
      </x:c>
      <x:c r="C41" s="7" t="str">
        <x:v>Kerweder Airport</x:v>
      </x:c>
      <x:c r="D41" s="7" t="str">
        <x:v>Eligible purpose</x:v>
      </x:c>
      <x:c r="E41" s="7" t="str">
        <x:v>Priority validation</x:v>
      </x:c>
      <x:c r="F41" s="14" t="n">
        <x:v>5</x:v>
      </x:c>
      <x:c r="G41" s="14" t="n">
        <x:v>1</x:v>
      </x:c>
      <x:c r="H41" s="14" t="n">
        <x:v>5</x:v>
      </x:c>
      <x:c r="I41" s="14" t="n">
        <x:v>4</x:v>
      </x:c>
      <x:c r="J41" s="15" t="n">
        <x:f>IF(D41="Eligible purpose",20*SUMPRODUCT(F41:I41,'Aircraft and method'!$B$17:$E$17),"")</x:f>
        <x:v>83</x:v>
      </x:c>
      <x:c r="K41" s="14" t="n">
        <x:v>5</x:v>
      </x:c>
      <x:c r="L41" s="14" t="n">
        <x:v>4</x:v>
      </x:c>
      <x:c r="M41" s="14" t="n">
        <x:v>3</x:v>
      </x:c>
      <x:c r="N41" s="14" t="n">
        <x:v>5</x:v>
      </x:c>
      <x:c r="O41" s="14" t="n">
        <x:v>5</x:v>
      </x:c>
      <x:c r="P41" s="2" t="n">
        <x:f>SUM(K41:O41)</x:f>
        <x:v>22</x:v>
      </x:c>
      <x:c r="Q41" s="7" t="str">
        <x:v>Bonanza / PA-28 / Savage Cub conditional</x:v>
      </x:c>
      <x:c r="R41" s="2" t="n">
        <x:f>IF(Catalogue!S41="","",Catalogue!S41)</x:f>
        <x:v>153.2</x:v>
      </x:c>
      <x:c r="S41" s="2" t="n">
        <x:f>IF(Catalogue!X41="","",Catalogue!X41)</x:f>
        <x:v>76</x:v>
      </x:c>
      <x:c r="T41" s="7" t="str">
        <x:v>Keerweder / Wolwedans transfer — Lodge/park staff, supplies and conservation equipment now; guest transport only through separately approved passenger capability.</x:v>
      </x:c>
      <x:c r="U41" s="7" t="str">
        <x:v>Real operator association; 45-minute ground transfer. Database key is not an MSFS identifier.</x:v>
      </x:c>
      <x:c r="V41" s="2" t="n">
        <x:f>IF(AND(D41="Eligible purpose",OR(E41="Priority validation",E41="Extended network")),1,0)</x:f>
        <x:v>1</x:v>
      </x:c>
      <x:c r="W41" s="2" t="n">
        <x:f>IF(V41=1,J41+P41/1000+(1000-ROW())/1000000,-1)</x:f>
        <x:v>83.022959</x:v>
      </x:c>
      <x:c r="X41" s="2" t="str">
        <x:f>A41</x:f>
        <x:v>Safari</x:v>
      </x:c>
      <x:c r="Y41" s="2" t="str">
        <x:f>B41</x:f>
        <x:v>NA-0030</x:v>
      </x:c>
      <x:c r="Z41" s="2" t="str">
        <x:f>C41</x:f>
        <x:v>Kerweder Airport</x:v>
      </x:c>
      <x:c r="AA41" s="2" t="n">
        <x:f>J41</x:f>
        <x:v>83</x:v>
      </x:c>
      <x:c r="AB41" s="2" t="n">
        <x:f>P41</x:f>
        <x:v>22</x:v>
      </x:c>
      <x:c r="AC41" s="2" t="str">
        <x:f>E41</x:f>
        <x:v>Priority validation</x:v>
      </x:c>
      <x:c r="AD41" s="2" t="n">
        <x:f>IF(S41="","",S41)</x:f>
        <x:v>76</x:v>
      </x:c>
      <x:c r="AE41" s="2" t="str">
        <x:f>T41</x:f>
        <x:v>Keerweder / Wolwedans transfer — Lodge/park staff, supplies and conservation equipment now; guest transport only through separately approved passenger capability.</x:v>
      </x:c>
    </x:row>
    <x:row r="42" ht="68" customHeight="1">
      <x:c r="A42" s="2" t="str">
        <x:v>Safari</x:v>
      </x:c>
      <x:c r="B42" s="2" t="str">
        <x:v>FYGK</x:v>
      </x:c>
      <x:c r="C42" s="7" t="str">
        <x:v>Farm Whitwater East Landing Strip</x:v>
      </x:c>
      <x:c r="D42" s="7" t="str">
        <x:v>Eligible purpose</x:v>
      </x:c>
      <x:c r="E42" s="7" t="str">
        <x:v>Research hold</x:v>
      </x:c>
      <x:c r="F42" s="14" t="n">
        <x:v>3</x:v>
      </x:c>
      <x:c r="G42" s="14" t="n">
        <x:v>1</x:v>
      </x:c>
      <x:c r="H42" s="14" t="n">
        <x:v>5</x:v>
      </x:c>
      <x:c r="I42" s="14" t="n">
        <x:v>3</x:v>
      </x:c>
      <x:c r="J42" s="15" t="n">
        <x:f>IF(D42="Eligible purpose",20*SUMPRODUCT(F42:I42,'Aircraft and method'!$B$17:$E$17),"")</x:f>
        <x:v>62</x:v>
      </x:c>
      <x:c r="K42" s="14" t="n">
        <x:v>5</x:v>
      </x:c>
      <x:c r="L42" s="14" t="n">
        <x:v>4</x:v>
      </x:c>
      <x:c r="M42" s="14" t="n">
        <x:v>3</x:v>
      </x:c>
      <x:c r="N42" s="14" t="n">
        <x:v>4</x:v>
      </x:c>
      <x:c r="O42" s="14" t="n">
        <x:v>5</x:v>
      </x:c>
      <x:c r="P42" s="2" t="n">
        <x:f>SUM(K42:O42)</x:f>
        <x:v>21</x:v>
      </x:c>
      <x:c r="Q42" s="7" t="str">
        <x:v>Bonanza / PA-28 / Savage Cub conditional</x:v>
      </x:c>
      <x:c r="R42" s="2" t="n">
        <x:f>IF(Catalogue!S42="","",Catalogue!S42)</x:f>
        <x:v>136.8</x:v>
      </x:c>
      <x:c r="S42" s="2" t="n">
        <x:f>IF(Catalogue!X42="","",Catalogue!X42)</x:f>
        <x:v>69</x:v>
      </x:c>
      <x:c r="T42" s="7" t="str">
        <x:v>Witwater East / Geluk-associated flying-circuit lead — Lodge/park staff, supplies and conservation equipment now; guest transport only through separately approved passenger capability.</x:v>
      </x:c>
      <x:c r="U42" s="7" t="str">
        <x:v>IDENTITY CONFLICT: AOPA calls FYGK Geluk; OurAirports calls it Farm Whitwater East. Separate NA-0067 Geluk exists about 8.5 NM away. Do not collapse the two records or assign lodge until reconciled.</x:v>
      </x:c>
      <x:c r="V42" s="2" t="n">
        <x:f>IF(AND(D42="Eligible purpose",OR(E42="Priority validation",E42="Extended network")),1,0)</x:f>
        <x:v>0</x:v>
      </x:c>
      <x:c r="W42" s="2" t="n">
        <x:f>IF(V42=1,J42+P42/1000+(1000-ROW())/1000000,-1)</x:f>
        <x:v>-1</x:v>
      </x:c>
      <x:c r="X42" s="2" t="str">
        <x:f>A42</x:f>
        <x:v>Safari</x:v>
      </x:c>
      <x:c r="Y42" s="2" t="str">
        <x:f>B42</x:f>
        <x:v>FYGK</x:v>
      </x:c>
      <x:c r="Z42" s="2" t="str">
        <x:f>C42</x:f>
        <x:v>Farm Whitwater East Landing Strip</x:v>
      </x:c>
      <x:c r="AA42" s="2" t="n">
        <x:f>J42</x:f>
        <x:v>62</x:v>
      </x:c>
      <x:c r="AB42" s="2" t="n">
        <x:f>P42</x:f>
        <x:v>21</x:v>
      </x:c>
      <x:c r="AC42" s="2" t="str">
        <x:f>E42</x:f>
        <x:v>Research hold</x:v>
      </x:c>
      <x:c r="AD42" s="2" t="n">
        <x:f>IF(S42="","",S42)</x:f>
        <x:v>69</x:v>
      </x:c>
      <x:c r="AE42" s="2" t="str">
        <x:f>T42</x:f>
        <x:v>Witwater East / Geluk-associated flying-circuit lead — Lodge/park staff, supplies and conservation equipment now; guest transport only through separately approved passenger capability.</x:v>
      </x:c>
    </x:row>
    <x:row r="43" ht="54" customHeight="1">
      <x:c r="A43" s="2" t="str">
        <x:v>Safari</x:v>
      </x:c>
      <x:c r="B43" s="2" t="str">
        <x:v>candidate-sonop</x:v>
      </x:c>
      <x:c r="C43" s="7" t="str">
        <x:v>Zannier Sonop private strip</x:v>
      </x:c>
      <x:c r="D43" s="7" t="str">
        <x:v>Eligible purpose</x:v>
      </x:c>
      <x:c r="E43" s="7" t="str">
        <x:v>Research hold</x:v>
      </x:c>
      <x:c r="F43" s="14" t="n">
        <x:v>5</x:v>
      </x:c>
      <x:c r="G43" s="14" t="n">
        <x:v>1</x:v>
      </x:c>
      <x:c r="H43" s="14" t="n">
        <x:v>3</x:v>
      </x:c>
      <x:c r="I43" s="14" t="n">
        <x:v>4</x:v>
      </x:c>
      <x:c r="J43" s="15" t="n">
        <x:f>IF(D43="Eligible purpose",20*SUMPRODUCT(F43:I43,'Aircraft and method'!$B$17:$E$17),"")</x:f>
        <x:v>75</x:v>
      </x:c>
      <x:c r="K43" s="14" t="n">
        <x:v>5</x:v>
      </x:c>
      <x:c r="L43" s="14" t="n">
        <x:v>4</x:v>
      </x:c>
      <x:c r="M43" s="14" t="n">
        <x:v>3</x:v>
      </x:c>
      <x:c r="N43" s="14" t="n">
        <x:v>5</x:v>
      </x:c>
      <x:c r="O43" s="14" t="n">
        <x:v>5</x:v>
      </x:c>
      <x:c r="P43" s="2" t="n">
        <x:f>SUM(K43:O43)</x:f>
        <x:v>22</x:v>
      </x:c>
      <x:c r="Q43" s="7" t="str">
        <x:v>Bonanza / PA-28 / Savage Cub conditional</x:v>
      </x:c>
      <x:c r="R43" s="2" t="str">
        <x:f>IF(Catalogue!S43="","",Catalogue!S43)</x:f>
      </x:c>
      <x:c r="S43" s="2" t="str">
        <x:f>IF(Catalogue!X43="","",Catalogue!X43)</x:f>
      </x:c>
      <x:c r="T43" s="7" t="str">
        <x:v>Zannier Sonop private strip — Lodge/park staff, supplies and conservation equipment now; guest transport only through separately approved passenger capability.</x:v>
      </x:c>
      <x:c r="U43" s="7" t="str">
        <x:v>Lodge and private airstrip verified; exact runway coordinates, identifier and measurements unresolved. Lodge coordinates are deliberately not substituted.</x:v>
      </x:c>
      <x:c r="V43" s="2" t="n">
        <x:f>IF(AND(D43="Eligible purpose",OR(E43="Priority validation",E43="Extended network")),1,0)</x:f>
        <x:v>0</x:v>
      </x:c>
      <x:c r="W43" s="2" t="n">
        <x:f>IF(V43=1,J43+P43/1000+(1000-ROW())/1000000,-1)</x:f>
        <x:v>-1</x:v>
      </x:c>
      <x:c r="X43" s="2" t="str">
        <x:f>A43</x:f>
        <x:v>Safari</x:v>
      </x:c>
      <x:c r="Y43" s="2" t="str">
        <x:f>B43</x:f>
        <x:v>candidate-sonop</x:v>
      </x:c>
      <x:c r="Z43" s="2" t="str">
        <x:f>C43</x:f>
        <x:v>Zannier Sonop private strip</x:v>
      </x:c>
      <x:c r="AA43" s="2" t="n">
        <x:f>J43</x:f>
        <x:v>75</x:v>
      </x:c>
      <x:c r="AB43" s="2" t="n">
        <x:f>P43</x:f>
        <x:v>22</x:v>
      </x:c>
      <x:c r="AC43" s="2" t="str">
        <x:f>E43</x:f>
        <x:v>Research hold</x:v>
      </x:c>
      <x:c r="AD43" s="2" t="str">
        <x:f>IF(S43="","",S43)</x:f>
      </x:c>
      <x:c r="AE43" s="2" t="str">
        <x:f>T43</x:f>
        <x:v>Zannier Sonop private strip — Lodge/park staff, supplies and conservation equipment now; guest transport only through separately approved passenger capability.</x:v>
      </x:c>
    </x:row>
    <x:row r="44" ht="54" customHeight="1">
      <x:c r="A44" s="2" t="str">
        <x:v>Safari</x:v>
      </x:c>
      <x:c r="B44" s="2" t="str">
        <x:v>FYWD</x:v>
      </x:c>
      <x:c r="C44" s="7" t="str">
        <x:v>Wolwedans Airport</x:v>
      </x:c>
      <x:c r="D44" s="7" t="str">
        <x:v>Eligible purpose</x:v>
      </x:c>
      <x:c r="E44" s="7" t="str">
        <x:v>Priority validation</x:v>
      </x:c>
      <x:c r="F44" s="14" t="n">
        <x:v>5</x:v>
      </x:c>
      <x:c r="G44" s="14" t="n">
        <x:v>1</x:v>
      </x:c>
      <x:c r="H44" s="14" t="n">
        <x:v>5</x:v>
      </x:c>
      <x:c r="I44" s="14" t="n">
        <x:v>5</x:v>
      </x:c>
      <x:c r="J44" s="15" t="n">
        <x:f>IF(D44="Eligible purpose",20*SUMPRODUCT(F44:I44,'Aircraft and method'!$B$17:$E$17),"")</x:f>
        <x:v>88</x:v>
      </x:c>
      <x:c r="K44" s="14" t="n">
        <x:v>5</x:v>
      </x:c>
      <x:c r="L44" s="14" t="n">
        <x:v>4</x:v>
      </x:c>
      <x:c r="M44" s="14" t="n">
        <x:v>3</x:v>
      </x:c>
      <x:c r="N44" s="14" t="n">
        <x:v>5</x:v>
      </x:c>
      <x:c r="O44" s="14" t="n">
        <x:v>5</x:v>
      </x:c>
      <x:c r="P44" s="2" t="n">
        <x:f>SUM(K44:O44)</x:f>
        <x:v>22</x:v>
      </x:c>
      <x:c r="Q44" s="7" t="str">
        <x:v>Bonanza / PA-28 / Savage Cub conditional</x:v>
      </x:c>
      <x:c r="R44" s="2" t="n">
        <x:f>IF(Catalogue!S44="","",Catalogue!S44)</x:f>
        <x:v>162</x:v>
      </x:c>
      <x:c r="S44" s="2" t="n">
        <x:f>IF(Catalogue!X44="","",Catalogue!X44)</x:f>
        <x:v>79</x:v>
      </x:c>
      <x:c r="T44" s="7" t="str">
        <x:v>Wolwedans lodges / NamibRand — Lodge/park staff, supplies and conservation equipment now; guest transport only through separately approved passenger capability.</x:v>
      </x:c>
      <x:c r="U44" s="7" t="str">
        <x:v>New database lead FYWD for previously identifierless row; must query exact geographic site, not silently approve.</x:v>
      </x:c>
      <x:c r="V44" s="2" t="n">
        <x:f>IF(AND(D44="Eligible purpose",OR(E44="Priority validation",E44="Extended network")),1,0)</x:f>
        <x:v>1</x:v>
      </x:c>
      <x:c r="W44" s="2" t="n">
        <x:f>IF(V44=1,J44+P44/1000+(1000-ROW())/1000000,-1)</x:f>
        <x:v>88.02295600000001</x:v>
      </x:c>
      <x:c r="X44" s="2" t="str">
        <x:f>A44</x:f>
        <x:v>Safari</x:v>
      </x:c>
      <x:c r="Y44" s="2" t="str">
        <x:f>B44</x:f>
        <x:v>FYWD</x:v>
      </x:c>
      <x:c r="Z44" s="2" t="str">
        <x:f>C44</x:f>
        <x:v>Wolwedans Airport</x:v>
      </x:c>
      <x:c r="AA44" s="2" t="n">
        <x:f>J44</x:f>
        <x:v>88</x:v>
      </x:c>
      <x:c r="AB44" s="2" t="n">
        <x:f>P44</x:f>
        <x:v>22</x:v>
      </x:c>
      <x:c r="AC44" s="2" t="str">
        <x:f>E44</x:f>
        <x:v>Priority validation</x:v>
      </x:c>
      <x:c r="AD44" s="2" t="n">
        <x:f>IF(S44="","",S44)</x:f>
        <x:v>79</x:v>
      </x:c>
      <x:c r="AE44" s="2" t="str">
        <x:f>T44</x:f>
        <x:v>Wolwedans lodges / NamibRand — Lodge/park staff, supplies and conservation equipment now; guest transport only through separately approved passenger capability.</x:v>
      </x:c>
    </x:row>
    <x:row r="45" ht="54" customHeight="1">
      <x:c r="A45" s="2" t="str">
        <x:v>Safari</x:v>
      </x:c>
      <x:c r="B45" s="2" t="str">
        <x:v>FYAD</x:v>
      </x:c>
      <x:c r="C45" s="7" t="str">
        <x:v>Aandster Airstrip</x:v>
      </x:c>
      <x:c r="D45" s="7" t="str">
        <x:v>Eligible purpose</x:v>
      </x:c>
      <x:c r="E45" s="7" t="str">
        <x:v>Hold: identifier/location conflict</x:v>
      </x:c>
      <x:c r="F45" s="14" t="n">
        <x:v>5</x:v>
      </x:c>
      <x:c r="G45" s="14" t="n">
        <x:v>1</x:v>
      </x:c>
      <x:c r="H45" s="14" t="n">
        <x:v>5</x:v>
      </x:c>
      <x:c r="I45" s="14" t="n">
        <x:v>4</x:v>
      </x:c>
      <x:c r="J45" s="15" t="n">
        <x:f>IF(D45="Eligible purpose",20*SUMPRODUCT(F45:I45,'Aircraft and method'!$B$17:$E$17),"")</x:f>
        <x:v>83</x:v>
      </x:c>
      <x:c r="K45" s="14" t="n">
        <x:v>5</x:v>
      </x:c>
      <x:c r="L45" s="14" t="n">
        <x:v>4</x:v>
      </x:c>
      <x:c r="M45" s="14" t="n">
        <x:v>4</x:v>
      </x:c>
      <x:c r="N45" s="14" t="n">
        <x:v>5</x:v>
      </x:c>
      <x:c r="O45" s="14" t="n">
        <x:v>5</x:v>
      </x:c>
      <x:c r="P45" s="2" t="n">
        <x:f>SUM(K45:O45)</x:f>
        <x:v>23</x:v>
      </x:c>
      <x:c r="Q45" s="7" t="str">
        <x:v>Bonanza / PA-28 / Savage Cub conditional</x:v>
      </x:c>
      <x:c r="R45" s="2" t="n">
        <x:f>IF(Catalogue!S45="","",Catalogue!S45)</x:f>
        <x:v>173.6</x:v>
      </x:c>
      <x:c r="S45" s="2" t="n">
        <x:f>IF(Catalogue!X45="","",Catalogue!X45)</x:f>
        <x:v>84</x:v>
      </x:c>
      <x:c r="T45" s="7" t="str">
        <x:v>Aandster / Wolwedans Boulders Camp — Lodge/park staff, supplies and conservation equipment now; guest transport only through separately approved passenger capability.</x:v>
      </x:c>
      <x:c r="U45" s="7" t="str">
        <x:v>Major conflict: OurAirports 900 m vs 2022 EMP 1450 m vs old operator 1500 m; orientations conflict too. Cached FYAD is far east. No runway approval until authoritative reconciliation.</x:v>
      </x:c>
      <x:c r="V45" s="2" t="n">
        <x:f>IF(AND(D45="Eligible purpose",OR(E45="Priority validation",E45="Extended network")),1,0)</x:f>
        <x:v>0</x:v>
      </x:c>
      <x:c r="W45" s="2" t="n">
        <x:f>IF(V45=1,J45+P45/1000+(1000-ROW())/1000000,-1)</x:f>
        <x:v>-1</x:v>
      </x:c>
      <x:c r="X45" s="2" t="str">
        <x:f>A45</x:f>
        <x:v>Safari</x:v>
      </x:c>
      <x:c r="Y45" s="2" t="str">
        <x:f>B45</x:f>
        <x:v>FYAD</x:v>
      </x:c>
      <x:c r="Z45" s="2" t="str">
        <x:f>C45</x:f>
        <x:v>Aandster Airstrip</x:v>
      </x:c>
      <x:c r="AA45" s="2" t="n">
        <x:f>J45</x:f>
        <x:v>83</x:v>
      </x:c>
      <x:c r="AB45" s="2" t="n">
        <x:f>P45</x:f>
        <x:v>23</x:v>
      </x:c>
      <x:c r="AC45" s="2" t="str">
        <x:f>E45</x:f>
        <x:v>Hold: identifier/location conflict</x:v>
      </x:c>
      <x:c r="AD45" s="2" t="n">
        <x:f>IF(S45="","",S45)</x:f>
        <x:v>84</x:v>
      </x:c>
      <x:c r="AE45" s="2" t="str">
        <x:f>T45</x:f>
        <x:v>Aandster / Wolwedans Boulders Camp — Lodge/park staff, supplies and conservation equipment now; guest transport only through separately approved passenger capability.</x:v>
      </x:c>
    </x:row>
    <x:row r="46" ht="54" customHeight="1">
      <x:c r="A46" s="2" t="str">
        <x:v>Safari</x:v>
      </x:c>
      <x:c r="B46" s="2" t="str">
        <x:v>NA-0168</x:v>
      </x:c>
      <x:c r="C46" s="7" t="str">
        <x:v>Palmwag Airport</x:v>
      </x:c>
      <x:c r="D46" s="7" t="str">
        <x:v>Eligible purpose</x:v>
      </x:c>
      <x:c r="E46" s="7" t="str">
        <x:v>Priority validation</x:v>
      </x:c>
      <x:c r="F46" s="14" t="n">
        <x:v>5</x:v>
      </x:c>
      <x:c r="G46" s="14" t="n">
        <x:v>1</x:v>
      </x:c>
      <x:c r="H46" s="14" t="n">
        <x:v>4</x:v>
      </x:c>
      <x:c r="I46" s="14" t="n">
        <x:v>5</x:v>
      </x:c>
      <x:c r="J46" s="15" t="n">
        <x:f>IF(D46="Eligible purpose",20*SUMPRODUCT(F46:I46,'Aircraft and method'!$B$17:$E$17),"")</x:f>
        <x:v>84</x:v>
      </x:c>
      <x:c r="K46" s="14" t="n">
        <x:v>5</x:v>
      </x:c>
      <x:c r="L46" s="14" t="n">
        <x:v>4</x:v>
      </x:c>
      <x:c r="M46" s="14" t="n">
        <x:v>3</x:v>
      </x:c>
      <x:c r="N46" s="14" t="n">
        <x:v>5</x:v>
      </x:c>
      <x:c r="O46" s="14" t="n">
        <x:v>5</x:v>
      </x:c>
      <x:c r="P46" s="2" t="n">
        <x:f>SUM(K46:O46)</x:f>
        <x:v>22</x:v>
      </x:c>
      <x:c r="Q46" s="7" t="str">
        <x:v>Bonanza / PA-28 / Savage Cub conditional</x:v>
      </x:c>
      <x:c r="R46" s="2" t="n">
        <x:f>IF(Catalogue!S46="","",Catalogue!S46)</x:f>
        <x:v>240.2</x:v>
      </x:c>
      <x:c r="S46" s="2" t="n">
        <x:f>IF(Catalogue!X46="","",Catalogue!X46)</x:f>
        <x:v>113</x:v>
      </x:c>
      <x:c r="T46" s="7" t="str">
        <x:v>Palmwag Lodge and concession — Lodge/park staff, supplies and conservation equipment now; guest transport only through separately approved passenger capability.</x:v>
      </x:c>
      <x:c r="U46" s="7" t="str">
        <x:v>Gondwana factsheet gives strip position; reconcile precise operator coordinates and database reference before activation.</x:v>
      </x:c>
      <x:c r="V46" s="2" t="n">
        <x:f>IF(AND(D46="Eligible purpose",OR(E46="Priority validation",E46="Extended network")),1,0)</x:f>
        <x:v>1</x:v>
      </x:c>
      <x:c r="W46" s="2" t="n">
        <x:f>IF(V46=1,J46+P46/1000+(1000-ROW())/1000000,-1)</x:f>
        <x:v>84.022954</x:v>
      </x:c>
      <x:c r="X46" s="2" t="str">
        <x:f>A46</x:f>
        <x:v>Safari</x:v>
      </x:c>
      <x:c r="Y46" s="2" t="str">
        <x:f>B46</x:f>
        <x:v>NA-0168</x:v>
      </x:c>
      <x:c r="Z46" s="2" t="str">
        <x:f>C46</x:f>
        <x:v>Palmwag Airport</x:v>
      </x:c>
      <x:c r="AA46" s="2" t="n">
        <x:f>J46</x:f>
        <x:v>84</x:v>
      </x:c>
      <x:c r="AB46" s="2" t="n">
        <x:f>P46</x:f>
        <x:v>22</x:v>
      </x:c>
      <x:c r="AC46" s="2" t="str">
        <x:f>E46</x:f>
        <x:v>Priority validation</x:v>
      </x:c>
      <x:c r="AD46" s="2" t="n">
        <x:f>IF(S46="","",S46)</x:f>
        <x:v>113</x:v>
      </x:c>
      <x:c r="AE46" s="2" t="str">
        <x:f>T46</x:f>
        <x:v>Palmwag Lodge and concession — Lodge/park staff, supplies and conservation equipment now; guest transport only through separately approved passenger capability.</x:v>
      </x:c>
    </x:row>
    <x:row r="47" ht="54" customHeight="1">
      <x:c r="A47" s="2" t="str">
        <x:v>Safari</x:v>
      </x:c>
      <x:c r="B47" s="2" t="str">
        <x:v>FYDN</x:v>
      </x:c>
      <x:c r="C47" s="7" t="str">
        <x:v>Doro Nawas Airstrip</x:v>
      </x:c>
      <x:c r="D47" s="7" t="str">
        <x:v>Eligible purpose</x:v>
      </x:c>
      <x:c r="E47" s="7" t="str">
        <x:v>Priority validation</x:v>
      </x:c>
      <x:c r="F47" s="14" t="n">
        <x:v>5</x:v>
      </x:c>
      <x:c r="G47" s="14" t="n">
        <x:v>3</x:v>
      </x:c>
      <x:c r="H47" s="14" t="n">
        <x:v>5</x:v>
      </x:c>
      <x:c r="I47" s="14" t="n">
        <x:v>5</x:v>
      </x:c>
      <x:c r="J47" s="15" t="n">
        <x:f>IF(D47="Eligible purpose",20*SUMPRODUCT(F47:I47,'Aircraft and method'!$B$17:$E$17),"")</x:f>
        <x:v>94</x:v>
      </x:c>
      <x:c r="K47" s="14" t="n">
        <x:v>5</x:v>
      </x:c>
      <x:c r="L47" s="14" t="n">
        <x:v>4</x:v>
      </x:c>
      <x:c r="M47" s="14" t="n">
        <x:v>3</x:v>
      </x:c>
      <x:c r="N47" s="14" t="n">
        <x:v>4</x:v>
      </x:c>
      <x:c r="O47" s="14" t="n">
        <x:v>5</x:v>
      </x:c>
      <x:c r="P47" s="2" t="n">
        <x:f>SUM(K47:O47)</x:f>
        <x:v>21</x:v>
      </x:c>
      <x:c r="Q47" s="7" t="str">
        <x:v>Bonanza / PA-28 / Savage Cub conditional</x:v>
      </x:c>
      <x:c r="R47" s="2" t="n">
        <x:f>IF(Catalogue!S47="","",Catalogue!S47)</x:f>
        <x:v>202.6</x:v>
      </x:c>
      <x:c r="S47" s="2" t="n">
        <x:f>IF(Catalogue!X47="","",Catalogue!X47)</x:f>
        <x:v>97</x:v>
      </x:c>
      <x:c r="T47" s="7" t="str">
        <x:v>Wilderness Doro Nawas charter hub — Lodge/park staff, supplies and conservation equipment now; guest transport only through separately approved passenger capability.</x:v>
      </x:c>
      <x:c r="U47" s="7" t="str">
        <x:v>EMP prose 1550 m; embedded chart 1490 m with LDA 1320/1330 m; preserve conflict. Airport absent in recorded simulator list.</x:v>
      </x:c>
      <x:c r="V47" s="2" t="n">
        <x:f>IF(AND(D47="Eligible purpose",OR(E47="Priority validation",E47="Extended network")),1,0)</x:f>
        <x:v>1</x:v>
      </x:c>
      <x:c r="W47" s="2" t="n">
        <x:f>IF(V47=1,J47+P47/1000+(1000-ROW())/1000000,-1)</x:f>
        <x:v>94.021953</x:v>
      </x:c>
      <x:c r="X47" s="2" t="str">
        <x:f>A47</x:f>
        <x:v>Safari</x:v>
      </x:c>
      <x:c r="Y47" s="2" t="str">
        <x:f>B47</x:f>
        <x:v>FYDN</x:v>
      </x:c>
      <x:c r="Z47" s="2" t="str">
        <x:f>C47</x:f>
        <x:v>Doro Nawas Airstrip</x:v>
      </x:c>
      <x:c r="AA47" s="2" t="n">
        <x:f>J47</x:f>
        <x:v>94</x:v>
      </x:c>
      <x:c r="AB47" s="2" t="n">
        <x:f>P47</x:f>
        <x:v>21</x:v>
      </x:c>
      <x:c r="AC47" s="2" t="str">
        <x:f>E47</x:f>
        <x:v>Priority validation</x:v>
      </x:c>
      <x:c r="AD47" s="2" t="n">
        <x:f>IF(S47="","",S47)</x:f>
        <x:v>97</x:v>
      </x:c>
      <x:c r="AE47" s="2" t="str">
        <x:f>T47</x:f>
        <x:v>Wilderness Doro Nawas charter hub — Lodge/park staff, supplies and conservation equipment now; guest transport only through separately approved passenger capability.</x:v>
      </x:c>
    </x:row>
    <x:row r="48" ht="54" customHeight="1">
      <x:c r="A48" s="2" t="str">
        <x:v>Safari</x:v>
      </x:c>
      <x:c r="B48" s="2" t="str">
        <x:v>FYHV</x:v>
      </x:c>
      <x:c r="C48" s="7" t="str">
        <x:v>Hartmann Valley Airstrip</x:v>
      </x:c>
      <x:c r="D48" s="7" t="str">
        <x:v>Eligible purpose</x:v>
      </x:c>
      <x:c r="E48" s="7" t="str">
        <x:v>Hold: identifier/location conflict</x:v>
      </x:c>
      <x:c r="F48" s="14" t="n">
        <x:v>5</x:v>
      </x:c>
      <x:c r="G48" s="14" t="n">
        <x:v>2</x:v>
      </x:c>
      <x:c r="H48" s="14" t="n">
        <x:v>2</x:v>
      </x:c>
      <x:c r="I48" s="14" t="n">
        <x:v>5</x:v>
      </x:c>
      <x:c r="J48" s="15" t="n">
        <x:f>IF(D48="Eligible purpose",20*SUMPRODUCT(F48:I48,'Aircraft and method'!$B$17:$E$17),"")</x:f>
        <x:v>79</x:v>
      </x:c>
      <x:c r="K48" s="14" t="n">
        <x:v>5</x:v>
      </x:c>
      <x:c r="L48" s="14" t="n">
        <x:v>5</x:v>
      </x:c>
      <x:c r="M48" s="14" t="n">
        <x:v>3</x:v>
      </x:c>
      <x:c r="N48" s="14" t="n">
        <x:v>5</x:v>
      </x:c>
      <x:c r="O48" s="14" t="n">
        <x:v>5</x:v>
      </x:c>
      <x:c r="P48" s="2" t="n">
        <x:f>SUM(K48:O48)</x:f>
        <x:v>23</x:v>
      </x:c>
      <x:c r="Q48" s="7" t="str">
        <x:v>Bonanza / PA-28 / Savage Cub conditional</x:v>
      </x:c>
      <x:c r="R48" s="2" t="n">
        <x:f>IF(Catalogue!S48="","",Catalogue!S48)</x:f>
        <x:v>415.4</x:v>
      </x:c>
      <x:c r="S48" s="2" t="n">
        <x:f>IF(Catalogue!X48="","",Catalogue!X48)</x:f>
        <x:v>187</x:v>
      </x:c>
      <x:c r="T48" s="7" t="str">
        <x:v>Serra Cafema via Hartmann Valley — Lodge/park staff, supplies and conservation equipment now; guest transport only through separately approved passenger capability.</x:v>
      </x:c>
      <x:c r="U48" s="7" t="str">
        <x:v>1600 m EMP vs 1550 m OurAirports. Cached FYHV is in southeast Namibia; requires geographic reconciliation. Extended for current slow safari fleet.</x:v>
      </x:c>
      <x:c r="V48" s="2" t="n">
        <x:f>IF(AND(D48="Eligible purpose",OR(E48="Priority validation",E48="Extended network")),1,0)</x:f>
        <x:v>0</x:v>
      </x:c>
      <x:c r="W48" s="2" t="n">
        <x:f>IF(V48=1,J48+P48/1000+(1000-ROW())/1000000,-1)</x:f>
        <x:v>-1</x:v>
      </x:c>
      <x:c r="X48" s="2" t="str">
        <x:f>A48</x:f>
        <x:v>Safari</x:v>
      </x:c>
      <x:c r="Y48" s="2" t="str">
        <x:f>B48</x:f>
        <x:v>FYHV</x:v>
      </x:c>
      <x:c r="Z48" s="2" t="str">
        <x:f>C48</x:f>
        <x:v>Hartmann Valley Airstrip</x:v>
      </x:c>
      <x:c r="AA48" s="2" t="n">
        <x:f>J48</x:f>
        <x:v>79</x:v>
      </x:c>
      <x:c r="AB48" s="2" t="n">
        <x:f>P48</x:f>
        <x:v>23</x:v>
      </x:c>
      <x:c r="AC48" s="2" t="str">
        <x:f>E48</x:f>
        <x:v>Hold: identifier/location conflict</x:v>
      </x:c>
      <x:c r="AD48" s="2" t="n">
        <x:f>IF(S48="","",S48)</x:f>
        <x:v>187</x:v>
      </x:c>
      <x:c r="AE48" s="2" t="str">
        <x:f>T48</x:f>
        <x:v>Serra Cafema via Hartmann Valley — Lodge/park staff, supplies and conservation equipment now; guest transport only through separately approved passenger capability.</x:v>
      </x:c>
    </x:row>
    <x:row r="49" ht="54" customHeight="1">
      <x:c r="A49" s="2" t="str">
        <x:v>Safari</x:v>
      </x:c>
      <x:c r="B49" s="2" t="str">
        <x:v>FYHO</x:v>
      </x:c>
      <x:c r="C49" s="7" t="str">
        <x:v>Hoanib Airstrip</x:v>
      </x:c>
      <x:c r="D49" s="7" t="str">
        <x:v>Eligible purpose</x:v>
      </x:c>
      <x:c r="E49" s="7" t="str">
        <x:v>Hold: identifier/location conflict</x:v>
      </x:c>
      <x:c r="F49" s="14" t="n">
        <x:v>5</x:v>
      </x:c>
      <x:c r="G49" s="14" t="n">
        <x:v>1</x:v>
      </x:c>
      <x:c r="H49" s="14" t="n">
        <x:v>3</x:v>
      </x:c>
      <x:c r="I49" s="14" t="n">
        <x:v>5</x:v>
      </x:c>
      <x:c r="J49" s="15" t="n">
        <x:f>IF(D49="Eligible purpose",20*SUMPRODUCT(F49:I49,'Aircraft and method'!$B$17:$E$17),"")</x:f>
        <x:v>80</x:v>
      </x:c>
      <x:c r="K49" s="14" t="n">
        <x:v>5</x:v>
      </x:c>
      <x:c r="L49" s="14" t="n">
        <x:v>5</x:v>
      </x:c>
      <x:c r="M49" s="14" t="n">
        <x:v>3</x:v>
      </x:c>
      <x:c r="N49" s="14" t="n">
        <x:v>5</x:v>
      </x:c>
      <x:c r="O49" s="14" t="n">
        <x:v>5</x:v>
      </x:c>
      <x:c r="P49" s="2" t="n">
        <x:f>SUM(K49:O49)</x:f>
        <x:v>23</x:v>
      </x:c>
      <x:c r="Q49" s="7" t="str">
        <x:v>Bonanza / PA-28 / Savage Cub conditional</x:v>
      </x:c>
      <x:c r="R49" s="2" t="n">
        <x:f>IF(Catalogue!S49="","",Catalogue!S49)</x:f>
        <x:v>293.7</x:v>
      </x:c>
      <x:c r="S49" s="2" t="n">
        <x:f>IF(Catalogue!X49="","",Catalogue!X49)</x:f>
        <x:v>136</x:v>
      </x:c>
      <x:c r="T49" s="7" t="str">
        <x:v>Wilderness Hoanib Skeleton Coast Camp — Lodge/park staff, supplies and conservation equipment now; guest transport only through separately approved passenger capability.</x:v>
      </x:c>
      <x:c r="U49" s="7" t="str">
        <x:v>Fly-in facility verified by operator. Cached FYHO near Bitterwasser, not Hoanib; do not use that endpoint.</x:v>
      </x:c>
      <x:c r="V49" s="2" t="n">
        <x:f>IF(AND(D49="Eligible purpose",OR(E49="Priority validation",E49="Extended network")),1,0)</x:f>
        <x:v>0</x:v>
      </x:c>
      <x:c r="W49" s="2" t="n">
        <x:f>IF(V49=1,J49+P49/1000+(1000-ROW())/1000000,-1)</x:f>
        <x:v>-1</x:v>
      </x:c>
      <x:c r="X49" s="2" t="str">
        <x:f>A49</x:f>
        <x:v>Safari</x:v>
      </x:c>
      <x:c r="Y49" s="2" t="str">
        <x:f>B49</x:f>
        <x:v>FYHO</x:v>
      </x:c>
      <x:c r="Z49" s="2" t="str">
        <x:f>C49</x:f>
        <x:v>Hoanib Airstrip</x:v>
      </x:c>
      <x:c r="AA49" s="2" t="n">
        <x:f>J49</x:f>
        <x:v>80</x:v>
      </x:c>
      <x:c r="AB49" s="2" t="n">
        <x:f>P49</x:f>
        <x:v>23</x:v>
      </x:c>
      <x:c r="AC49" s="2" t="str">
        <x:f>E49</x:f>
        <x:v>Hold: identifier/location conflict</x:v>
      </x:c>
      <x:c r="AD49" s="2" t="n">
        <x:f>IF(S49="","",S49)</x:f>
        <x:v>136</x:v>
      </x:c>
      <x:c r="AE49" s="2" t="str">
        <x:f>T49</x:f>
        <x:v>Wilderness Hoanib Skeleton Coast Camp — Lodge/park staff, supplies and conservation equipment now; guest transport only through separately approved passenger capability.</x:v>
      </x:c>
    </x:row>
    <x:row r="50" ht="54" customHeight="1">
      <x:c r="A50" s="2" t="str">
        <x:v>Safari</x:v>
      </x:c>
      <x:c r="B50" s="2" t="str">
        <x:v>FYMW</x:v>
      </x:c>
      <x:c r="C50" s="7" t="str">
        <x:v>Moewe Bay Airport</x:v>
      </x:c>
      <x:c r="D50" s="7" t="str">
        <x:v>Eligible purpose</x:v>
      </x:c>
      <x:c r="E50" s="7" t="str">
        <x:v>Priority validation</x:v>
      </x:c>
      <x:c r="F50" s="14" t="n">
        <x:v>4</x:v>
      </x:c>
      <x:c r="G50" s="14" t="n">
        <x:v>1</x:v>
      </x:c>
      <x:c r="H50" s="14" t="n">
        <x:v>3</x:v>
      </x:c>
      <x:c r="I50" s="14" t="n">
        <x:v>4</x:v>
      </x:c>
      <x:c r="J50" s="15" t="n">
        <x:f>IF(D50="Eligible purpose",20*SUMPRODUCT(F50:I50,'Aircraft and method'!$B$17:$E$17),"")</x:f>
        <x:v>67</x:v>
      </x:c>
      <x:c r="K50" s="14" t="n">
        <x:v>5</x:v>
      </x:c>
      <x:c r="L50" s="14" t="n">
        <x:v>4</x:v>
      </x:c>
      <x:c r="M50" s="14" t="n">
        <x:v>3</x:v>
      </x:c>
      <x:c r="N50" s="14" t="n">
        <x:v>5</x:v>
      </x:c>
      <x:c r="O50" s="14" t="n">
        <x:v>5</x:v>
      </x:c>
      <x:c r="P50" s="2" t="n">
        <x:f>SUM(K50:O50)</x:f>
        <x:v>22</x:v>
      </x:c>
      <x:c r="Q50" s="7" t="str">
        <x:v>Bonanza / PA-28 / Savage Cub conditional</x:v>
      </x:c>
      <x:c r="R50" s="2" t="n">
        <x:f>IF(Catalogue!S50="","",Catalogue!S50)</x:f>
        <x:v>310.3</x:v>
      </x:c>
      <x:c r="S50" s="2" t="n">
        <x:f>IF(Catalogue!X50="","",Catalogue!X50)</x:f>
        <x:v>143</x:v>
      </x:c>
      <x:c r="T50" s="7" t="str">
        <x:v>Möwe Bay Skeleton Coast excursion — Lodge/park staff, supplies and conservation equipment now; guest transport only through separately approved passenger capability.</x:v>
      </x:c>
      <x:c r="U50" s="7" t="str">
        <x:v>Operator documents fly/drive coastal excursion. Not interchangeable with Shipwreck Lodge/Westies. No dimensions established; absent in recorded list.</x:v>
      </x:c>
      <x:c r="V50" s="2" t="n">
        <x:f>IF(AND(D50="Eligible purpose",OR(E50="Priority validation",E50="Extended network")),1,0)</x:f>
        <x:v>1</x:v>
      </x:c>
      <x:c r="W50" s="2" t="n">
        <x:f>IF(V50=1,J50+P50/1000+(1000-ROW())/1000000,-1)</x:f>
        <x:v>67.02295000000001</x:v>
      </x:c>
      <x:c r="X50" s="2" t="str">
        <x:f>A50</x:f>
        <x:v>Safari</x:v>
      </x:c>
      <x:c r="Y50" s="2" t="str">
        <x:f>B50</x:f>
        <x:v>FYMW</x:v>
      </x:c>
      <x:c r="Z50" s="2" t="str">
        <x:f>C50</x:f>
        <x:v>Moewe Bay Airport</x:v>
      </x:c>
      <x:c r="AA50" s="2" t="n">
        <x:f>J50</x:f>
        <x:v>67</x:v>
      </x:c>
      <x:c r="AB50" s="2" t="n">
        <x:f>P50</x:f>
        <x:v>22</x:v>
      </x:c>
      <x:c r="AC50" s="2" t="str">
        <x:f>E50</x:f>
        <x:v>Priority validation</x:v>
      </x:c>
      <x:c r="AD50" s="2" t="n">
        <x:f>IF(S50="","",S50)</x:f>
        <x:v>143</x:v>
      </x:c>
      <x:c r="AE50" s="2" t="str">
        <x:f>T50</x:f>
        <x:v>Möwe Bay Skeleton Coast excursion — Lodge/park staff, supplies and conservation equipment now; guest transport only through separately approved passenger capability.</x:v>
      </x:c>
    </x:row>
    <x:row r="51" ht="54" customHeight="1">
      <x:c r="A51" s="2" t="str">
        <x:v>Safari</x:v>
      </x:c>
      <x:c r="B51" s="2" t="str">
        <x:v>NA-0067</x:v>
      </x:c>
      <x:c r="C51" s="7" t="str">
        <x:v>Geluk Airstrip</x:v>
      </x:c>
      <x:c r="D51" s="7" t="str">
        <x:v>Eligible purpose</x:v>
      </x:c>
      <x:c r="E51" s="7" t="str">
        <x:v>Research hold</x:v>
      </x:c>
      <x:c r="F51" s="14" t="n">
        <x:v>5</x:v>
      </x:c>
      <x:c r="G51" s="14" t="n">
        <x:v>1</x:v>
      </x:c>
      <x:c r="H51" s="14" t="n">
        <x:v>5</x:v>
      </x:c>
      <x:c r="I51" s="14" t="n">
        <x:v>4</x:v>
      </x:c>
      <x:c r="J51" s="15" t="n">
        <x:f>IF(D51="Eligible purpose",20*SUMPRODUCT(F51:I51,'Aircraft and method'!$B$17:$E$17),"")</x:f>
        <x:v>83</x:v>
      </x:c>
      <x:c r="K51" s="14" t="n">
        <x:v>5</x:v>
      </x:c>
      <x:c r="L51" s="14" t="n">
        <x:v>4</x:v>
      </x:c>
      <x:c r="M51" s="14" t="n">
        <x:v>3</x:v>
      </x:c>
      <x:c r="N51" s="14" t="n">
        <x:v>4</x:v>
      </x:c>
      <x:c r="O51" s="14" t="n">
        <x:v>5</x:v>
      </x:c>
      <x:c r="P51" s="2" t="n">
        <x:f>SUM(K51:O51)</x:f>
        <x:v>21</x:v>
      </x:c>
      <x:c r="Q51" s="7" t="str">
        <x:v>Bonanza / PA-28 / Savage Cub conditional</x:v>
      </x:c>
      <x:c r="R51" s="2" t="n">
        <x:f>IF(Catalogue!S51="","",Catalogue!S51)</x:f>
        <x:v>142.9</x:v>
      </x:c>
      <x:c r="S51" s="2" t="n">
        <x:f>IF(Catalogue!X51="","",Catalogue!X51)</x:f>
        <x:v>71</x:v>
      </x:c>
      <x:c r="T51" s="7" t="str">
        <x:v>Geluk / Wolwedans and Kwessi Dunes transfer lead — Lodge/park staff, supplies and conservation equipment now; guest transport only through separately approved passenger capability.</x:v>
      </x:c>
      <x:c r="U51" s="7" t="str">
        <x:v>OurAirports separate field from FYGK; facility transfer association applies to Geluk name but correct runway remains unresolved. Hold both until geography/identifier reconciled.</x:v>
      </x:c>
      <x:c r="V51" s="2" t="n">
        <x:f>IF(AND(D51="Eligible purpose",OR(E51="Priority validation",E51="Extended network")),1,0)</x:f>
        <x:v>0</x:v>
      </x:c>
      <x:c r="W51" s="2" t="n">
        <x:f>IF(V51=1,J51+P51/1000+(1000-ROW())/1000000,-1)</x:f>
        <x:v>-1</x:v>
      </x:c>
      <x:c r="X51" s="2" t="str">
        <x:f>A51</x:f>
        <x:v>Safari</x:v>
      </x:c>
      <x:c r="Y51" s="2" t="str">
        <x:f>B51</x:f>
        <x:v>NA-0067</x:v>
      </x:c>
      <x:c r="Z51" s="2" t="str">
        <x:f>C51</x:f>
        <x:v>Geluk Airstrip</x:v>
      </x:c>
      <x:c r="AA51" s="2" t="n">
        <x:f>J51</x:f>
        <x:v>83</x:v>
      </x:c>
      <x:c r="AB51" s="2" t="n">
        <x:f>P51</x:f>
        <x:v>21</x:v>
      </x:c>
      <x:c r="AC51" s="2" t="str">
        <x:f>E51</x:f>
        <x:v>Research hold</x:v>
      </x:c>
      <x:c r="AD51" s="2" t="n">
        <x:f>IF(S51="","",S51)</x:f>
        <x:v>71</x:v>
      </x:c>
      <x:c r="AE51" s="2" t="str">
        <x:f>T51</x:f>
        <x:v>Geluk / Wolwedans and Kwessi Dunes transfer lead — Lodge/park staff, supplies and conservation equipment now; guest transport only through separately approved passenger capability.</x:v>
      </x:c>
    </x:row>
    <x:row r="52" ht="54" customHeight="1">
      <x:c r="A52" s="2" t="str">
        <x:v>Safari</x:v>
      </x:c>
      <x:c r="B52" s="2" t="str">
        <x:v>FYOO</x:v>
      </x:c>
      <x:c r="C52" s="7" t="str">
        <x:v>Okaukuejo Airport</x:v>
      </x:c>
      <x:c r="D52" s="7" t="str">
        <x:v>Eligible purpose</x:v>
      </x:c>
      <x:c r="E52" s="7" t="str">
        <x:v>Priority validation</x:v>
      </x:c>
      <x:c r="F52" s="14" t="n">
        <x:v>5</x:v>
      </x:c>
      <x:c r="G52" s="14" t="n">
        <x:v>1</x:v>
      </x:c>
      <x:c r="H52" s="14" t="n">
        <x:v>5</x:v>
      </x:c>
      <x:c r="I52" s="14" t="n">
        <x:v>5</x:v>
      </x:c>
      <x:c r="J52" s="15" t="n">
        <x:f>IF(D52="Eligible purpose",20*SUMPRODUCT(F52:I52,'Aircraft and method'!$B$17:$E$17),"")</x:f>
        <x:v>88</x:v>
      </x:c>
      <x:c r="K52" s="14" t="n">
        <x:v>4</x:v>
      </x:c>
      <x:c r="L52" s="14" t="n">
        <x:v>3</x:v>
      </x:c>
      <x:c r="M52" s="14" t="n">
        <x:v>3</x:v>
      </x:c>
      <x:c r="N52" s="14" t="n">
        <x:v>3</x:v>
      </x:c>
      <x:c r="O52" s="14" t="n">
        <x:v>4</x:v>
      </x:c>
      <x:c r="P52" s="2" t="n">
        <x:f>SUM(K52:O52)</x:f>
        <x:v>17</x:v>
      </x:c>
      <x:c r="Q52" s="7" t="str">
        <x:v>Bonanza / PA-28 / Savage Cub conditional</x:v>
      </x:c>
      <x:c r="R52" s="2" t="n">
        <x:f>IF(Catalogue!S52="","",Catalogue!S52)</x:f>
        <x:v>217.6</x:v>
      </x:c>
      <x:c r="S52" s="2" t="n">
        <x:f>IF(Catalogue!X52="","",Catalogue!X52)</x:f>
        <x:v>103</x:v>
      </x:c>
      <x:c r="T52" s="7" t="str">
        <x:v>NWR Okaukuejo resort and park operations — Lodge/park staff, supplies and conservation equipment now; guest transport only through separately approved passenger capability.</x:v>
      </x:c>
      <x:c r="U52" s="7" t="str">
        <x:v>Real tourism/park service purpose. Confirm park air-access permission and exact runway; not a generic sightseeing landing.</x:v>
      </x:c>
      <x:c r="V52" s="2" t="n">
        <x:f>IF(AND(D52="Eligible purpose",OR(E52="Priority validation",E52="Extended network")),1,0)</x:f>
        <x:v>1</x:v>
      </x:c>
      <x:c r="W52" s="2" t="n">
        <x:f>IF(V52=1,J52+P52/1000+(1000-ROW())/1000000,-1)</x:f>
        <x:v>88.01794799999999</x:v>
      </x:c>
      <x:c r="X52" s="2" t="str">
        <x:f>A52</x:f>
        <x:v>Safari</x:v>
      </x:c>
      <x:c r="Y52" s="2" t="str">
        <x:f>B52</x:f>
        <x:v>FYOO</x:v>
      </x:c>
      <x:c r="Z52" s="2" t="str">
        <x:f>C52</x:f>
        <x:v>Okaukuejo Airport</x:v>
      </x:c>
      <x:c r="AA52" s="2" t="n">
        <x:f>J52</x:f>
        <x:v>88</x:v>
      </x:c>
      <x:c r="AB52" s="2" t="n">
        <x:f>P52</x:f>
        <x:v>17</x:v>
      </x:c>
      <x:c r="AC52" s="2" t="str">
        <x:f>E52</x:f>
        <x:v>Priority validation</x:v>
      </x:c>
      <x:c r="AD52" s="2" t="n">
        <x:f>IF(S52="","",S52)</x:f>
        <x:v>103</x:v>
      </x:c>
      <x:c r="AE52" s="2" t="str">
        <x:f>T52</x:f>
        <x:v>NWR Okaukuejo resort and park operations — Lodge/park staff, supplies and conservation equipment now; guest transport only through separately approved passenger capability.</x:v>
      </x:c>
    </x:row>
    <x:row r="53" ht="54" customHeight="1">
      <x:c r="A53" s="2" t="str">
        <x:v>Safari</x:v>
      </x:c>
      <x:c r="B53" s="2" t="str">
        <x:v>FYME</x:v>
      </x:c>
      <x:c r="C53" s="7" t="str">
        <x:v>Mount Etjo Airport</x:v>
      </x:c>
      <x:c r="D53" s="7" t="str">
        <x:v>Eligible purpose</x:v>
      </x:c>
      <x:c r="E53" s="7" t="str">
        <x:v>Priority validation</x:v>
      </x:c>
      <x:c r="F53" s="14" t="n">
        <x:v>5</x:v>
      </x:c>
      <x:c r="G53" s="14" t="n">
        <x:v>1</x:v>
      </x:c>
      <x:c r="H53" s="14" t="n">
        <x:v>5</x:v>
      </x:c>
      <x:c r="I53" s="14" t="n">
        <x:v>5</x:v>
      </x:c>
      <x:c r="J53" s="15" t="n">
        <x:f>IF(D53="Eligible purpose",20*SUMPRODUCT(F53:I53,'Aircraft and method'!$B$17:$E$17),"")</x:f>
        <x:v>88</x:v>
      </x:c>
      <x:c r="K53" s="14" t="n">
        <x:v>5</x:v>
      </x:c>
      <x:c r="L53" s="14" t="n">
        <x:v>4</x:v>
      </x:c>
      <x:c r="M53" s="14" t="n">
        <x:v>3</x:v>
      </x:c>
      <x:c r="N53" s="14" t="n">
        <x:v>3</x:v>
      </x:c>
      <x:c r="O53" s="14" t="n">
        <x:v>5</x:v>
      </x:c>
      <x:c r="P53" s="2" t="n">
        <x:f>SUM(K53:O53)</x:f>
        <x:v>20</x:v>
      </x:c>
      <x:c r="Q53" s="7" t="str">
        <x:v>Bonanza / PA-28 / Savage Cub conditional</x:v>
      </x:c>
      <x:c r="R53" s="2" t="n">
        <x:f>IF(Catalogue!S53="","",Catalogue!S53)</x:f>
        <x:v>101.2</x:v>
      </x:c>
      <x:c r="S53" s="2" t="n">
        <x:f>IF(Catalogue!X53="","",Catalogue!X53)</x:f>
        <x:v>54</x:v>
      </x:c>
      <x:c r="T53" s="7" t="str">
        <x:v>Mount Etjo Safari Lodge — Lodge/park staff, supplies and conservation equipment now; guest transport only through separately approved passenger capability.</x:v>
      </x:c>
      <x:c r="U53" s="7" t="str">
        <x:v>Facility and field location corroborated; public runway details missing. Particularly useful short Eros sector.</x:v>
      </x:c>
      <x:c r="V53" s="2" t="n">
        <x:f>IF(AND(D53="Eligible purpose",OR(E53="Priority validation",E53="Extended network")),1,0)</x:f>
        <x:v>1</x:v>
      </x:c>
      <x:c r="W53" s="2" t="n">
        <x:f>IF(V53=1,J53+P53/1000+(1000-ROW())/1000000,-1)</x:f>
        <x:v>88.02094699999999</x:v>
      </x:c>
      <x:c r="X53" s="2" t="str">
        <x:f>A53</x:f>
        <x:v>Safari</x:v>
      </x:c>
      <x:c r="Y53" s="2" t="str">
        <x:f>B53</x:f>
        <x:v>FYME</x:v>
      </x:c>
      <x:c r="Z53" s="2" t="str">
        <x:f>C53</x:f>
        <x:v>Mount Etjo Airport</x:v>
      </x:c>
      <x:c r="AA53" s="2" t="n">
        <x:f>J53</x:f>
        <x:v>88</x:v>
      </x:c>
      <x:c r="AB53" s="2" t="n">
        <x:f>P53</x:f>
        <x:v>20</x:v>
      </x:c>
      <x:c r="AC53" s="2" t="str">
        <x:f>E53</x:f>
        <x:v>Priority validation</x:v>
      </x:c>
      <x:c r="AD53" s="2" t="n">
        <x:f>IF(S53="","",S53)</x:f>
        <x:v>54</x:v>
      </x:c>
      <x:c r="AE53" s="2" t="str">
        <x:f>T53</x:f>
        <x:v>Mount Etjo Safari Lodge — Lodge/park staff, supplies and conservation equipment now; guest transport only through separately approved passenger capability.</x:v>
      </x:c>
    </x:row>
    <x:row r="54" ht="54" customHeight="1">
      <x:c r="A54" s="2" t="str">
        <x:v>Safari</x:v>
      </x:c>
      <x:c r="B54" s="2" t="str">
        <x:v>FYKN</x:v>
      </x:c>
      <x:c r="C54" s="7" t="str">
        <x:v>Okonjima Airport</x:v>
      </x:c>
      <x:c r="D54" s="7" t="str">
        <x:v>Eligible purpose</x:v>
      </x:c>
      <x:c r="E54" s="7" t="str">
        <x:v>Priority validation</x:v>
      </x:c>
      <x:c r="F54" s="14" t="n">
        <x:v>5</x:v>
      </x:c>
      <x:c r="G54" s="14" t="n">
        <x:v>3</x:v>
      </x:c>
      <x:c r="H54" s="14" t="n">
        <x:v>5</x:v>
      </x:c>
      <x:c r="I54" s="14" t="n">
        <x:v>5</x:v>
      </x:c>
      <x:c r="J54" s="15" t="n">
        <x:f>IF(D54="Eligible purpose",20*SUMPRODUCT(F54:I54,'Aircraft and method'!$B$17:$E$17),"")</x:f>
        <x:v>94</x:v>
      </x:c>
      <x:c r="K54" s="14" t="n">
        <x:v>5</x:v>
      </x:c>
      <x:c r="L54" s="14" t="n">
        <x:v>5</x:v>
      </x:c>
      <x:c r="M54" s="14" t="n">
        <x:v>3</x:v>
      </x:c>
      <x:c r="N54" s="14" t="n">
        <x:v>3</x:v>
      </x:c>
      <x:c r="O54" s="14" t="n">
        <x:v>5</x:v>
      </x:c>
      <x:c r="P54" s="2" t="n">
        <x:f>SUM(K54:O54)</x:f>
        <x:v>21</x:v>
      </x:c>
      <x:c r="Q54" s="7" t="str">
        <x:v>Bonanza / PA-28 / Savage Cub conditional</x:v>
      </x:c>
      <x:c r="R54" s="2" t="n">
        <x:f>IF(Catalogue!S54="","",Catalogue!S54)</x:f>
        <x:v>107.2</x:v>
      </x:c>
      <x:c r="S54" s="2" t="n">
        <x:f>IF(Catalogue!X54="","",Catalogue!X54)</x:f>
        <x:v>56</x:v>
      </x:c>
      <x:c r="T54" s="7" t="str">
        <x:v>Okonjima Nature Reserve / AfriCat — Lodge/park staff, supplies and conservation equipment now; guest transport only through separately approved passenger capability.</x:v>
      </x:c>
      <x:c r="U54" s="7" t="str">
        <x:v>Operator 1300 m dirt/sand, 05/23; elevation 5430 ft vs OurAirports 5357 ft. Mountains/power line/fence require review. Identifier newly researched, not queried.</x:v>
      </x:c>
      <x:c r="V54" s="2" t="n">
        <x:f>IF(AND(D54="Eligible purpose",OR(E54="Priority validation",E54="Extended network")),1,0)</x:f>
        <x:v>1</x:v>
      </x:c>
      <x:c r="W54" s="2" t="n">
        <x:f>IF(V54=1,J54+P54/1000+(1000-ROW())/1000000,-1)</x:f>
        <x:v>94.021946</x:v>
      </x:c>
      <x:c r="X54" s="2" t="str">
        <x:f>A54</x:f>
        <x:v>Safari</x:v>
      </x:c>
      <x:c r="Y54" s="2" t="str">
        <x:f>B54</x:f>
        <x:v>FYKN</x:v>
      </x:c>
      <x:c r="Z54" s="2" t="str">
        <x:f>C54</x:f>
        <x:v>Okonjima Airport</x:v>
      </x:c>
      <x:c r="AA54" s="2" t="n">
        <x:f>J54</x:f>
        <x:v>94</x:v>
      </x:c>
      <x:c r="AB54" s="2" t="n">
        <x:f>P54</x:f>
        <x:v>21</x:v>
      </x:c>
      <x:c r="AC54" s="2" t="str">
        <x:f>E54</x:f>
        <x:v>Priority validation</x:v>
      </x:c>
      <x:c r="AD54" s="2" t="n">
        <x:f>IF(S54="","",S54)</x:f>
        <x:v>56</x:v>
      </x:c>
      <x:c r="AE54" s="2" t="str">
        <x:f>T54</x:f>
        <x:v>Okonjima Nature Reserve / AfriCat — Lodge/park staff, supplies and conservation equipment now; guest transport only through separately approved passenger capability.</x:v>
      </x:c>
    </x:row>
    <x:row r="55" ht="54" customHeight="1">
      <x:c r="A55" s="2" t="str">
        <x:v>Safari</x:v>
      </x:c>
      <x:c r="B55" s="2" t="str">
        <x:v>FYHI</x:v>
      </x:c>
      <x:c r="C55" s="7" t="str">
        <x:v>Halali Airport</x:v>
      </x:c>
      <x:c r="D55" s="7" t="str">
        <x:v>Eligible purpose</x:v>
      </x:c>
      <x:c r="E55" s="7" t="str">
        <x:v>Priority validation</x:v>
      </x:c>
      <x:c r="F55" s="14" t="n">
        <x:v>4</x:v>
      </x:c>
      <x:c r="G55" s="14" t="n">
        <x:v>1</x:v>
      </x:c>
      <x:c r="H55" s="14" t="n">
        <x:v>4</x:v>
      </x:c>
      <x:c r="I55" s="14" t="n">
        <x:v>4</x:v>
      </x:c>
      <x:c r="J55" s="15" t="n">
        <x:f>IF(D55="Eligible purpose",20*SUMPRODUCT(F55:I55,'Aircraft and method'!$B$17:$E$17),"")</x:f>
        <x:v>71</x:v>
      </x:c>
      <x:c r="K55" s="14" t="n">
        <x:v>4</x:v>
      </x:c>
      <x:c r="L55" s="14" t="n">
        <x:v>3</x:v>
      </x:c>
      <x:c r="M55" s="14" t="n">
        <x:v>3</x:v>
      </x:c>
      <x:c r="N55" s="14" t="n">
        <x:v>3</x:v>
      </x:c>
      <x:c r="O55" s="14" t="n">
        <x:v>4</x:v>
      </x:c>
      <x:c r="P55" s="2" t="n">
        <x:f>SUM(K55:O55)</x:f>
        <x:v>17</x:v>
      </x:c>
      <x:c r="Q55" s="7" t="str">
        <x:v>Bonanza / PA-28 / Savage Cub conditional</x:v>
      </x:c>
      <x:c r="R55" s="2" t="n">
        <x:f>IF(Catalogue!S55="","",Catalogue!S55)</x:f>
        <x:v>217.5</x:v>
      </x:c>
      <x:c r="S55" s="2" t="n">
        <x:f>IF(Catalogue!X55="","",Catalogue!X55)</x:f>
        <x:v>103</x:v>
      </x:c>
      <x:c r="T55" s="7" t="str">
        <x:v>NWR Halali resort and park operations — Lodge/park staff, supplies and conservation equipment now; guest transport only through separately approved passenger capability.</x:v>
      </x:c>
      <x:c r="U55" s="7" t="str">
        <x:v>Tourism purpose verified; air access/permission not established by resort existence.</x:v>
      </x:c>
      <x:c r="V55" s="2" t="n">
        <x:f>IF(AND(D55="Eligible purpose",OR(E55="Priority validation",E55="Extended network")),1,0)</x:f>
        <x:v>1</x:v>
      </x:c>
      <x:c r="W55" s="2" t="n">
        <x:f>IF(V55=1,J55+P55/1000+(1000-ROW())/1000000,-1)</x:f>
        <x:v>71.017945</x:v>
      </x:c>
      <x:c r="X55" s="2" t="str">
        <x:f>A55</x:f>
        <x:v>Safari</x:v>
      </x:c>
      <x:c r="Y55" s="2" t="str">
        <x:f>B55</x:f>
        <x:v>FYHI</x:v>
      </x:c>
      <x:c r="Z55" s="2" t="str">
        <x:f>C55</x:f>
        <x:v>Halali Airport</x:v>
      </x:c>
      <x:c r="AA55" s="2" t="n">
        <x:f>J55</x:f>
        <x:v>71</x:v>
      </x:c>
      <x:c r="AB55" s="2" t="n">
        <x:f>P55</x:f>
        <x:v>17</x:v>
      </x:c>
      <x:c r="AC55" s="2" t="str">
        <x:f>E55</x:f>
        <x:v>Priority validation</x:v>
      </x:c>
      <x:c r="AD55" s="2" t="n">
        <x:f>IF(S55="","",S55)</x:f>
        <x:v>103</x:v>
      </x:c>
      <x:c r="AE55" s="2" t="str">
        <x:f>T55</x:f>
        <x:v>NWR Halali resort and park operations — Lodge/park staff, supplies and conservation equipment now; guest transport only through separately approved passenger capability.</x:v>
      </x:c>
    </x:row>
    <x:row r="56" ht="54" customHeight="1">
      <x:c r="A56" s="2" t="str">
        <x:v>Safari</x:v>
      </x:c>
      <x:c r="B56" s="2" t="str">
        <x:v>FYNA</x:v>
      </x:c>
      <x:c r="C56" s="7" t="str">
        <x:v>Namutoni Airport</x:v>
      </x:c>
      <x:c r="D56" s="7" t="str">
        <x:v>Eligible purpose</x:v>
      </x:c>
      <x:c r="E56" s="7" t="str">
        <x:v>Priority validation</x:v>
      </x:c>
      <x:c r="F56" s="14" t="n">
        <x:v>4</x:v>
      </x:c>
      <x:c r="G56" s="14" t="n">
        <x:v>1</x:v>
      </x:c>
      <x:c r="H56" s="14" t="n">
        <x:v>4</x:v>
      </x:c>
      <x:c r="I56" s="14" t="n">
        <x:v>4</x:v>
      </x:c>
      <x:c r="J56" s="15" t="n">
        <x:f>IF(D56="Eligible purpose",20*SUMPRODUCT(F56:I56,'Aircraft and method'!$B$17:$E$17),"")</x:f>
        <x:v>71</x:v>
      </x:c>
      <x:c r="K56" s="14" t="n">
        <x:v>4</x:v>
      </x:c>
      <x:c r="L56" s="14" t="n">
        <x:v>3</x:v>
      </x:c>
      <x:c r="M56" s="14" t="n">
        <x:v>3</x:v>
      </x:c>
      <x:c r="N56" s="14" t="n">
        <x:v>3</x:v>
      </x:c>
      <x:c r="O56" s="14" t="n">
        <x:v>4</x:v>
      </x:c>
      <x:c r="P56" s="2" t="n">
        <x:f>SUM(K56:O56)</x:f>
        <x:v>17</x:v>
      </x:c>
      <x:c r="Q56" s="7" t="str">
        <x:v>Bonanza / PA-28 / Savage Cub conditional</x:v>
      </x:c>
      <x:c r="R56" s="2" t="n">
        <x:f>IF(Catalogue!S56="","",Catalogue!S56)</x:f>
        <x:v>228.2</x:v>
      </x:c>
      <x:c r="S56" s="2" t="n">
        <x:f>IF(Catalogue!X56="","",Catalogue!X56)</x:f>
        <x:v>108</x:v>
      </x:c>
      <x:c r="T56" s="7" t="str">
        <x:v>NWR Namutoni resort and eastern Etosha — Lodge/park staff, supplies and conservation equipment now; guest transport only through separately approved passenger capability.</x:v>
      </x:c>
      <x:c r="U56" s="7" t="str">
        <x:v>Resort purpose documented; runway details and current visitor air access unverified.</x:v>
      </x:c>
      <x:c r="V56" s="2" t="n">
        <x:f>IF(AND(D56="Eligible purpose",OR(E56="Priority validation",E56="Extended network")),1,0)</x:f>
        <x:v>1</x:v>
      </x:c>
      <x:c r="W56" s="2" t="n">
        <x:f>IF(V56=1,J56+P56/1000+(1000-ROW())/1000000,-1)</x:f>
        <x:v>71.017944</x:v>
      </x:c>
      <x:c r="X56" s="2" t="str">
        <x:f>A56</x:f>
        <x:v>Safari</x:v>
      </x:c>
      <x:c r="Y56" s="2" t="str">
        <x:f>B56</x:f>
        <x:v>FYNA</x:v>
      </x:c>
      <x:c r="Z56" s="2" t="str">
        <x:f>C56</x:f>
        <x:v>Namutoni Airport</x:v>
      </x:c>
      <x:c r="AA56" s="2" t="n">
        <x:f>J56</x:f>
        <x:v>71</x:v>
      </x:c>
      <x:c r="AB56" s="2" t="n">
        <x:f>P56</x:f>
        <x:v>17</x:v>
      </x:c>
      <x:c r="AC56" s="2" t="str">
        <x:f>E56</x:f>
        <x:v>Priority validation</x:v>
      </x:c>
      <x:c r="AD56" s="2" t="n">
        <x:f>IF(S56="","",S56)</x:f>
        <x:v>108</x:v>
      </x:c>
      <x:c r="AE56" s="2" t="str">
        <x:f>T56</x:f>
        <x:v>NWR Namutoni resort and eastern Etosha — Lodge/park staff, supplies and conservation equipment now; guest transport only through separately approved passenger capability.</x:v>
      </x:c>
    </x:row>
    <x:row r="57" ht="54" customHeight="1">
      <x:c r="A57" s="2" t="str">
        <x:v>Safari</x:v>
      </x:c>
      <x:c r="B57" s="2" t="str">
        <x:v>FYDC</x:v>
      </x:c>
      <x:c r="C57" s="7" t="str">
        <x:v>Damaraland Wilderness Camp Airstrip</x:v>
      </x:c>
      <x:c r="D57" s="7" t="str">
        <x:v>Eligible purpose</x:v>
      </x:c>
      <x:c r="E57" s="7" t="str">
        <x:v>Priority validation</x:v>
      </x:c>
      <x:c r="F57" s="14" t="n">
        <x:v>5</x:v>
      </x:c>
      <x:c r="G57" s="14" t="n">
        <x:v>1</x:v>
      </x:c>
      <x:c r="H57" s="14" t="n">
        <x:v>5</x:v>
      </x:c>
      <x:c r="I57" s="14" t="n">
        <x:v>5</x:v>
      </x:c>
      <x:c r="J57" s="15" t="n">
        <x:f>IF(D57="Eligible purpose",20*SUMPRODUCT(F57:I57,'Aircraft and method'!$B$17:$E$17),"")</x:f>
        <x:v>88</x:v>
      </x:c>
      <x:c r="K57" s="14" t="n">
        <x:v>5</x:v>
      </x:c>
      <x:c r="L57" s="14" t="n">
        <x:v>4</x:v>
      </x:c>
      <x:c r="M57" s="14" t="n">
        <x:v>3</x:v>
      </x:c>
      <x:c r="N57" s="14" t="n">
        <x:v>5</x:v>
      </x:c>
      <x:c r="O57" s="14" t="n">
        <x:v>5</x:v>
      </x:c>
      <x:c r="P57" s="2" t="n">
        <x:f>SUM(K57:O57)</x:f>
        <x:v>22</x:v>
      </x:c>
      <x:c r="Q57" s="7" t="str">
        <x:v>Bonanza / PA-28 / Savage Cub conditional</x:v>
      </x:c>
      <x:c r="R57" s="2" t="n">
        <x:f>IF(Catalogue!S57="","",Catalogue!S57)</x:f>
        <x:v>210.2</x:v>
      </x:c>
      <x:c r="S57" s="2" t="n">
        <x:f>IF(Catalogue!X57="","",Catalogue!X57)</x:f>
        <x:v>100</x:v>
      </x:c>
      <x:c r="T57" s="7" t="str">
        <x:v>Wilderness Damaraland Camp / Torra Conservancy — Lodge/park staff, supplies and conservation equipment now; guest transport only through separately approved passenger capability.</x:v>
      </x:c>
      <x:c r="U57" s="7" t="str">
        <x:v>Strong lodge/conservancy purpose; strip record alone does not establish current landing permission.</x:v>
      </x:c>
      <x:c r="V57" s="2" t="n">
        <x:f>IF(AND(D57="Eligible purpose",OR(E57="Priority validation",E57="Extended network")),1,0)</x:f>
        <x:v>1</x:v>
      </x:c>
      <x:c r="W57" s="2" t="n">
        <x:f>IF(V57=1,J57+P57/1000+(1000-ROW())/1000000,-1)</x:f>
        <x:v>88.02294300000001</x:v>
      </x:c>
      <x:c r="X57" s="2" t="str">
        <x:f>A57</x:f>
        <x:v>Safari</x:v>
      </x:c>
      <x:c r="Y57" s="2" t="str">
        <x:f>B57</x:f>
        <x:v>FYDC</x:v>
      </x:c>
      <x:c r="Z57" s="2" t="str">
        <x:f>C57</x:f>
        <x:v>Damaraland Wilderness Camp Airstrip</x:v>
      </x:c>
      <x:c r="AA57" s="2" t="n">
        <x:f>J57</x:f>
        <x:v>88</x:v>
      </x:c>
      <x:c r="AB57" s="2" t="n">
        <x:f>P57</x:f>
        <x:v>22</x:v>
      </x:c>
      <x:c r="AC57" s="2" t="str">
        <x:f>E57</x:f>
        <x:v>Priority validation</x:v>
      </x:c>
      <x:c r="AD57" s="2" t="n">
        <x:f>IF(S57="","",S57)</x:f>
        <x:v>100</x:v>
      </x:c>
      <x:c r="AE57" s="2" t="str">
        <x:f>T57</x:f>
        <x:v>Wilderness Damaraland Camp / Torra Conservancy — Lodge/park staff, supplies and conservation equipment now; guest transport only through separately approved passenger capability.</x:v>
      </x:c>
    </x:row>
    <x:row r="58" ht="54" customHeight="1">
      <x:c r="A58" s="2" t="str">
        <x:v>Safari</x:v>
      </x:c>
      <x:c r="B58" s="2" t="str">
        <x:v>FYEA</x:v>
      </x:c>
      <x:c r="C58" s="7" t="str">
        <x:v>Etendeka Airstrip</x:v>
      </x:c>
      <x:c r="D58" s="7" t="str">
        <x:v>Eligible purpose</x:v>
      </x:c>
      <x:c r="E58" s="7" t="str">
        <x:v>Priority validation</x:v>
      </x:c>
      <x:c r="F58" s="14" t="n">
        <x:v>5</x:v>
      </x:c>
      <x:c r="G58" s="14" t="n">
        <x:v>2</x:v>
      </x:c>
      <x:c r="H58" s="14" t="n">
        <x:v>4</x:v>
      </x:c>
      <x:c r="I58" s="14" t="n">
        <x:v>4</x:v>
      </x:c>
      <x:c r="J58" s="15" t="n">
        <x:f>IF(D58="Eligible purpose",20*SUMPRODUCT(F58:I58,'Aircraft and method'!$B$17:$E$17),"")</x:f>
        <x:v>82</x:v>
      </x:c>
      <x:c r="K58" s="14" t="n">
        <x:v>5</x:v>
      </x:c>
      <x:c r="L58" s="14" t="n">
        <x:v>5</x:v>
      </x:c>
      <x:c r="M58" s="14" t="n">
        <x:v>3</x:v>
      </x:c>
      <x:c r="N58" s="14" t="n">
        <x:v>5</x:v>
      </x:c>
      <x:c r="O58" s="14" t="n">
        <x:v>5</x:v>
      </x:c>
      <x:c r="P58" s="2" t="n">
        <x:f>SUM(K58:O58)</x:f>
        <x:v>23</x:v>
      </x:c>
      <x:c r="Q58" s="7" t="str">
        <x:v>Bonanza / PA-28 / Savage Cub conditional</x:v>
      </x:c>
      <x:c r="R58" s="2" t="n">
        <x:f>IF(Catalogue!S58="","",Catalogue!S58)</x:f>
        <x:v>243.7</x:v>
      </x:c>
      <x:c r="S58" s="2" t="n">
        <x:f>IF(Catalogue!X58="","",Catalogue!X58)</x:f>
        <x:v>114</x:v>
      </x:c>
      <x:c r="T58" s="7" t="str">
        <x:v>Etendeka Mountain Camp — Lodge/park staff, supplies and conservation equipment now; guest transport only through separately approved passenger capability.</x:v>
      </x:c>
      <x:c r="U58" s="7" t="str">
        <x:v>Secondary operator-hosted description: 1000 m gravel, 3000 ft; current usable length/width/orientation need operator confirmation.</x:v>
      </x:c>
      <x:c r="V58" s="2" t="n">
        <x:f>IF(AND(D58="Eligible purpose",OR(E58="Priority validation",E58="Extended network")),1,0)</x:f>
        <x:v>1</x:v>
      </x:c>
      <x:c r="W58" s="2" t="n">
        <x:f>IF(V58=1,J58+P58/1000+(1000-ROW())/1000000,-1)</x:f>
        <x:v>82.02394199999999</x:v>
      </x:c>
      <x:c r="X58" s="2" t="str">
        <x:f>A58</x:f>
        <x:v>Safari</x:v>
      </x:c>
      <x:c r="Y58" s="2" t="str">
        <x:f>B58</x:f>
        <x:v>FYEA</x:v>
      </x:c>
      <x:c r="Z58" s="2" t="str">
        <x:f>C58</x:f>
        <x:v>Etendeka Airstrip</x:v>
      </x:c>
      <x:c r="AA58" s="2" t="n">
        <x:f>J58</x:f>
        <x:v>82</x:v>
      </x:c>
      <x:c r="AB58" s="2" t="n">
        <x:f>P58</x:f>
        <x:v>23</x:v>
      </x:c>
      <x:c r="AC58" s="2" t="str">
        <x:f>E58</x:f>
        <x:v>Priority validation</x:v>
      </x:c>
      <x:c r="AD58" s="2" t="n">
        <x:f>IF(S58="","",S58)</x:f>
        <x:v>114</x:v>
      </x:c>
      <x:c r="AE58" s="2" t="str">
        <x:f>T58</x:f>
        <x:v>Etendeka Mountain Camp — Lodge/park staff, supplies and conservation equipment now; guest transport only through separately approved passenger capability.</x:v>
      </x:c>
    </x:row>
    <x:row r="59" ht="54" customHeight="1">
      <x:c r="A59" s="2" t="str">
        <x:v>Safari</x:v>
      </x:c>
      <x:c r="B59" s="2" t="str">
        <x:v>FYHH</x:v>
      </x:c>
      <x:c r="C59" s="7" t="str">
        <x:v>Helmeringhausen Airport</x:v>
      </x:c>
      <x:c r="D59" s="7" t="str">
        <x:v>Eligible purpose</x:v>
      </x:c>
      <x:c r="E59" s="7" t="str">
        <x:v>Priority validation</x:v>
      </x:c>
      <x:c r="F59" s="14" t="n">
        <x:v>4</x:v>
      </x:c>
      <x:c r="G59" s="14" t="n">
        <x:v>2</x:v>
      </x:c>
      <x:c r="H59" s="14" t="n">
        <x:v>4</x:v>
      </x:c>
      <x:c r="I59" s="14" t="n">
        <x:v>3</x:v>
      </x:c>
      <x:c r="J59" s="15" t="n">
        <x:f>IF(D59="Eligible purpose",20*SUMPRODUCT(F59:I59,'Aircraft and method'!$B$17:$E$17),"")</x:f>
        <x:v>69</x:v>
      </x:c>
      <x:c r="K59" s="14" t="n">
        <x:v>4</x:v>
      </x:c>
      <x:c r="L59" s="14" t="n">
        <x:v>3</x:v>
      </x:c>
      <x:c r="M59" s="14" t="n">
        <x:v>3</x:v>
      </x:c>
      <x:c r="N59" s="14" t="n">
        <x:v>4</x:v>
      </x:c>
      <x:c r="O59" s="14" t="n">
        <x:v>5</x:v>
      </x:c>
      <x:c r="P59" s="2" t="n">
        <x:f>SUM(K59:O59)</x:f>
        <x:v>19</x:v>
      </x:c>
      <x:c r="Q59" s="7" t="str">
        <x:v>Bonanza / PA-28 / Savage Cub conditional</x:v>
      </x:c>
      <x:c r="R59" s="2" t="n">
        <x:f>IF(Catalogue!S59="","",Catalogue!S59)</x:f>
        <x:v>196.2</x:v>
      </x:c>
      <x:c r="S59" s="2" t="n">
        <x:f>IF(Catalogue!X59="","",Catalogue!X59)</x:f>
        <x:v>94</x:v>
      </x:c>
      <x:c r="T59" s="7" t="str">
        <x:v>Helmeringhausen Hotel private field — Lodge/park staff, supplies and conservation equipment now; guest transport only through separately approved passenger capability.</x:v>
      </x:c>
      <x:c r="U59" s="7" t="str">
        <x:v>Operator 900 m gravel; unregistered/unlicensed/unmanned and prior approval for guests. Hospitality/diversity reserve, not core wildlife lodge.</x:v>
      </x:c>
      <x:c r="V59" s="2" t="n">
        <x:f>IF(AND(D59="Eligible purpose",OR(E59="Priority validation",E59="Extended network")),1,0)</x:f>
        <x:v>1</x:v>
      </x:c>
      <x:c r="W59" s="2" t="n">
        <x:f>IF(V59=1,J59+P59/1000+(1000-ROW())/1000000,-1)</x:f>
        <x:v>69.019941</x:v>
      </x:c>
      <x:c r="X59" s="2" t="str">
        <x:f>A59</x:f>
        <x:v>Safari</x:v>
      </x:c>
      <x:c r="Y59" s="2" t="str">
        <x:f>B59</x:f>
        <x:v>FYHH</x:v>
      </x:c>
      <x:c r="Z59" s="2" t="str">
        <x:f>C59</x:f>
        <x:v>Helmeringhausen Airport</x:v>
      </x:c>
      <x:c r="AA59" s="2" t="n">
        <x:f>J59</x:f>
        <x:v>69</x:v>
      </x:c>
      <x:c r="AB59" s="2" t="n">
        <x:f>P59</x:f>
        <x:v>19</x:v>
      </x:c>
      <x:c r="AC59" s="2" t="str">
        <x:f>E59</x:f>
        <x:v>Priority validation</x:v>
      </x:c>
      <x:c r="AD59" s="2" t="n">
        <x:f>IF(S59="","",S59)</x:f>
        <x:v>94</x:v>
      </x:c>
      <x:c r="AE59" s="2" t="str">
        <x:f>T59</x:f>
        <x:v>Helmeringhausen Hotel private field — Lodge/park staff, supplies and conservation equipment now; guest transport only through separately approved passenger capability.</x:v>
      </x:c>
    </x:row>
    <x:row r="60" ht="68" customHeight="1">
      <x:c r="A60" s="2" t="str">
        <x:v>Safari</x:v>
      </x:c>
      <x:c r="B60" s="2" t="str">
        <x:v>FYSO</x:v>
      </x:c>
      <x:c r="C60" s="7" t="str">
        <x:v>Solitaire Airport</x:v>
      </x:c>
      <x:c r="D60" s="7" t="str">
        <x:v>Eligible purpose</x:v>
      </x:c>
      <x:c r="E60" s="7" t="str">
        <x:v>Priority validation</x:v>
      </x:c>
      <x:c r="F60" s="14" t="n">
        <x:v>5</x:v>
      </x:c>
      <x:c r="G60" s="14" t="n">
        <x:v>3</x:v>
      </x:c>
      <x:c r="H60" s="14" t="n">
        <x:v>5</x:v>
      </x:c>
      <x:c r="I60" s="14" t="n">
        <x:v>5</x:v>
      </x:c>
      <x:c r="J60" s="15" t="n">
        <x:f>IF(D60="Eligible purpose",20*SUMPRODUCT(F60:I60,'Aircraft and method'!$B$17:$E$17),"")</x:f>
        <x:v>94</x:v>
      </x:c>
      <x:c r="K60" s="14" t="n">
        <x:v>5</x:v>
      </x:c>
      <x:c r="L60" s="14" t="n">
        <x:v>4</x:v>
      </x:c>
      <x:c r="M60" s="14" t="n">
        <x:v>3</x:v>
      </x:c>
      <x:c r="N60" s="14" t="n">
        <x:v>3</x:v>
      </x:c>
      <x:c r="O60" s="14" t="n">
        <x:v>5</x:v>
      </x:c>
      <x:c r="P60" s="2" t="n">
        <x:f>SUM(K60:O60)</x:f>
        <x:v>20</x:v>
      </x:c>
      <x:c r="Q60" s="7" t="str">
        <x:v>Bonanza / PA-28 / Savage Cub conditional</x:v>
      </x:c>
      <x:c r="R60" s="2" t="n">
        <x:f>IF(Catalogue!S60="","",Catalogue!S60)</x:f>
        <x:v>97.8</x:v>
      </x:c>
      <x:c r="S60" s="2" t="n">
        <x:f>IF(Catalogue!X60="","",Catalogue!X60)</x:f>
        <x:v>52</x:v>
      </x:c>
      <x:c r="T60" s="7" t="str">
        <x:v>Solitaire Roadhouse / Mountain Lodge / Desert Camp — Lodge/park staff, supplies and conservation equipment now; guest transport only through separately approved passenger capability.</x:v>
      </x:c>
      <x:c r="U60" s="7" t="str">
        <x:v>Operator confirms fly-in tourism, lodge shuttle and airfield. Useful closer desert-network stop; aviation fuel only by prior arrangement, not guaranteed.</x:v>
      </x:c>
      <x:c r="V60" s="2" t="n">
        <x:f>IF(AND(D60="Eligible purpose",OR(E60="Priority validation",E60="Extended network")),1,0)</x:f>
        <x:v>1</x:v>
      </x:c>
      <x:c r="W60" s="2" t="n">
        <x:f>IF(V60=1,J60+P60/1000+(1000-ROW())/1000000,-1)</x:f>
        <x:v>94.02094</x:v>
      </x:c>
      <x:c r="X60" s="2" t="str">
        <x:f>A60</x:f>
        <x:v>Safari</x:v>
      </x:c>
      <x:c r="Y60" s="2" t="str">
        <x:f>B60</x:f>
        <x:v>FYSO</x:v>
      </x:c>
      <x:c r="Z60" s="2" t="str">
        <x:f>C60</x:f>
        <x:v>Solitaire Airport</x:v>
      </x:c>
      <x:c r="AA60" s="2" t="n">
        <x:f>J60</x:f>
        <x:v>94</x:v>
      </x:c>
      <x:c r="AB60" s="2" t="n">
        <x:f>P60</x:f>
        <x:v>20</x:v>
      </x:c>
      <x:c r="AC60" s="2" t="str">
        <x:f>E60</x:f>
        <x:v>Priority validation</x:v>
      </x:c>
      <x:c r="AD60" s="2" t="n">
        <x:f>IF(S60="","",S60)</x:f>
        <x:v>52</x:v>
      </x:c>
      <x:c r="AE60" s="2" t="str">
        <x:f>T60</x:f>
        <x:v>Solitaire Roadhouse / Mountain Lodge / Desert Camp — Lodge/park staff, supplies and conservation equipment now; guest transport only through separately approved passenger capability.</x:v>
      </x:c>
    </x:row>
    <x:row r="61" ht="54" customHeight="1">
      <x:c r="A61" s="2" t="str">
        <x:v>Safari</x:v>
      </x:c>
      <x:c r="B61" s="2" t="str">
        <x:v>candidate-westies</x:v>
      </x:c>
      <x:c r="C61" s="7" t="str">
        <x:v>Shipwreck Lodge via Westies airstrip</x:v>
      </x:c>
      <x:c r="D61" s="7" t="str">
        <x:v>Eligible purpose</x:v>
      </x:c>
      <x:c r="E61" s="7" t="str">
        <x:v>Research hold</x:v>
      </x:c>
      <x:c r="F61" s="14" t="n">
        <x:v>4</x:v>
      </x:c>
      <x:c r="G61" s="14" t="n">
        <x:v>1</x:v>
      </x:c>
      <x:c r="H61" s="14" t="n">
        <x:v>2</x:v>
      </x:c>
      <x:c r="I61" s="14" t="n">
        <x:v>4</x:v>
      </x:c>
      <x:c r="J61" s="15" t="n">
        <x:f>IF(D61="Eligible purpose",20*SUMPRODUCT(F61:I61,'Aircraft and method'!$B$17:$E$17),"")</x:f>
        <x:v>63</x:v>
      </x:c>
      <x:c r="K61" s="14" t="n">
        <x:v>5</x:v>
      </x:c>
      <x:c r="L61" s="14" t="n">
        <x:v>4</x:v>
      </x:c>
      <x:c r="M61" s="14" t="n">
        <x:v>3</x:v>
      </x:c>
      <x:c r="N61" s="14" t="n">
        <x:v>5</x:v>
      </x:c>
      <x:c r="O61" s="14" t="n">
        <x:v>5</x:v>
      </x:c>
      <x:c r="P61" s="2" t="n">
        <x:f>SUM(K61:O61)</x:f>
        <x:v>22</x:v>
      </x:c>
      <x:c r="Q61" s="7" t="str">
        <x:v>Bonanza / PA-28 / Savage Cub conditional</x:v>
      </x:c>
      <x:c r="R61" s="2" t="str">
        <x:f>IF(Catalogue!S61="","",Catalogue!S61)</x:f>
      </x:c>
      <x:c r="S61" s="2" t="str">
        <x:f>IF(Catalogue!X61="","",Catalogue!X61)</x:f>
      </x:c>
      <x:c r="T61" s="7" t="str">
        <x:v>Shipwreck Lodge via Westies airstrip — Lodge/park staff, supplies and conservation equipment now; guest transport only through separately approved passenger capability.</x:v>
      </x:c>
      <x:c r="U61" s="7" t="str">
        <x:v>2025 announcement of 2026 circuit is not evidence opening occurred. Confirm operator, position and simulator availability; do not relabel Möwe Bay.</x:v>
      </x:c>
      <x:c r="V61" s="2" t="n">
        <x:f>IF(AND(D61="Eligible purpose",OR(E61="Priority validation",E61="Extended network")),1,0)</x:f>
        <x:v>0</x:v>
      </x:c>
      <x:c r="W61" s="2" t="n">
        <x:f>IF(V61=1,J61+P61/1000+(1000-ROW())/1000000,-1)</x:f>
        <x:v>-1</x:v>
      </x:c>
      <x:c r="X61" s="2" t="str">
        <x:f>A61</x:f>
        <x:v>Safari</x:v>
      </x:c>
      <x:c r="Y61" s="2" t="str">
        <x:f>B61</x:f>
        <x:v>candidate-westies</x:v>
      </x:c>
      <x:c r="Z61" s="2" t="str">
        <x:f>C61</x:f>
        <x:v>Shipwreck Lodge via Westies airstrip</x:v>
      </x:c>
      <x:c r="AA61" s="2" t="n">
        <x:f>J61</x:f>
        <x:v>63</x:v>
      </x:c>
      <x:c r="AB61" s="2" t="n">
        <x:f>P61</x:f>
        <x:v>22</x:v>
      </x:c>
      <x:c r="AC61" s="2" t="str">
        <x:f>E61</x:f>
        <x:v>Research hold</x:v>
      </x:c>
      <x:c r="AD61" s="2" t="str">
        <x:f>IF(S61="","",S61)</x:f>
      </x:c>
      <x:c r="AE61" s="2" t="str">
        <x:f>T61</x:f>
        <x:v>Shipwreck Lodge via Westies airstrip — Lodge/park staff, supplies and conservation equipment now; guest transport only through separately approved passenger capability.</x:v>
      </x:c>
    </x:row>
    <x:row r="62" ht="68" customHeight="1">
      <x:c r="A62" s="2" t="str">
        <x:v>Offshore</x:v>
      </x:c>
      <x:c r="B62" s="2" t="str">
        <x:v>FYLZ</x:v>
      </x:c>
      <x:c r="C62" s="7" t="str">
        <x:v>Luderitz Airport</x:v>
      </x:c>
      <x:c r="D62" s="7" t="str">
        <x:v>Eligible purpose</x:v>
      </x:c>
      <x:c r="E62" s="7" t="str">
        <x:v>Priority validation</x:v>
      </x:c>
      <x:c r="F62" s="14" t="n">
        <x:v>5</x:v>
      </x:c>
      <x:c r="G62" s="14" t="n">
        <x:v>4</x:v>
      </x:c>
      <x:c r="H62" s="14" t="n">
        <x:v>5</x:v>
      </x:c>
      <x:c r="I62" s="14" t="n">
        <x:v>5</x:v>
      </x:c>
      <x:c r="J62" s="15" t="n">
        <x:f>IF(D62="Eligible purpose",20*SUMPRODUCT(F62:I62,'Aircraft and method'!$B$19:$E$19),"")</x:f>
        <x:v>96</x:v>
      </x:c>
      <x:c r="K62" s="14" t="n">
        <x:v>5</x:v>
      </x:c>
      <x:c r="L62" s="14" t="n">
        <x:v>4</x:v>
      </x:c>
      <x:c r="M62" s="14" t="n">
        <x:v>2</x:v>
      </x:c>
      <x:c r="N62" s="14" t="n">
        <x:v>4</x:v>
      </x:c>
      <x:c r="O62" s="14" t="n">
        <x:v>5</x:v>
      </x:c>
      <x:c r="P62" s="2" t="n">
        <x:f>SUM(K62:O62)</x:f>
        <x:v>20</x:v>
      </x:c>
      <x:c r="Q62" s="7" t="str">
        <x:v>Vision Jet conditional; H125 disabled</x:v>
      </x:c>
      <x:c r="R62" s="2" t="n">
        <x:f>IF(Catalogue!T36="","",Catalogue!T36)</x:f>
        <x:v>225</x:v>
      </x:c>
      <x:c r="S62" s="2" t="n">
        <x:f>IF(Catalogue!AA36="","",Catalogue!AA36)</x:f>
        <x:v>83</x:v>
      </x:c>
      <x:c r="T62" s="7" t="str">
        <x:v>Lüderitz fishing, mining exports and offshore support port — Marine-industry specialist/equipment or executive airport transfer; proposed adaptation of existing airport mission types.</x:v>
      </x:c>
      <x:c r="U62" s="7" t="str">
        <x:v>High-value dual-career hub. Airport to port needs road transfer; no airport deck assumed.</x:v>
      </x:c>
      <x:c r="V62" s="2" t="n">
        <x:f>IF(AND(D62="Eligible purpose",OR(E62="Priority validation",E62="Extended network")),1,0)</x:f>
        <x:v>1</x:v>
      </x:c>
      <x:c r="W62" s="2" t="n">
        <x:f>IF(V62=1,J62+P62/1000+(1000-ROW())/1000000,-1)</x:f>
        <x:v>96.020938</x:v>
      </x:c>
      <x:c r="X62" s="2" t="str">
        <x:f>A62</x:f>
        <x:v>Offshore</x:v>
      </x:c>
      <x:c r="Y62" s="2" t="str">
        <x:f>B62</x:f>
        <x:v>FYLZ</x:v>
      </x:c>
      <x:c r="Z62" s="2" t="str">
        <x:f>C62</x:f>
        <x:v>Luderitz Airport</x:v>
      </x:c>
      <x:c r="AA62" s="2" t="n">
        <x:f>J62</x:f>
        <x:v>96</x:v>
      </x:c>
      <x:c r="AB62" s="2" t="n">
        <x:f>P62</x:f>
        <x:v>20</x:v>
      </x:c>
      <x:c r="AC62" s="2" t="str">
        <x:f>E62</x:f>
        <x:v>Priority validation</x:v>
      </x:c>
      <x:c r="AD62" s="2" t="n">
        <x:f>IF(S62="","",S62)</x:f>
        <x:v>83</x:v>
      </x:c>
      <x:c r="AE62" s="2" t="str">
        <x:f>T62</x:f>
        <x:v>Lüderitz fishing, mining exports and offshore support port — Marine-industry specialist/equipment or executive airport transfer; proposed adaptation of existing airport mission types.</x:v>
      </x:c>
    </x:row>
    <x:row r="63" ht="54" customHeight="1">
      <x:c r="A63" s="2" t="str">
        <x:v>Offshore</x:v>
      </x:c>
      <x:c r="B63" s="2" t="str">
        <x:v>FYOG</x:v>
      </x:c>
      <x:c r="C63" s="7" t="str">
        <x:v>Oranjemund Airport</x:v>
      </x:c>
      <x:c r="D63" s="7" t="str">
        <x:v>Eligible purpose</x:v>
      </x:c>
      <x:c r="E63" s="7" t="str">
        <x:v>Priority validation</x:v>
      </x:c>
      <x:c r="F63" s="14" t="n">
        <x:v>5</x:v>
      </x:c>
      <x:c r="G63" s="14" t="n">
        <x:v>3</x:v>
      </x:c>
      <x:c r="H63" s="14" t="n">
        <x:v>4</x:v>
      </x:c>
      <x:c r="I63" s="14" t="n">
        <x:v>5</x:v>
      </x:c>
      <x:c r="J63" s="15" t="n">
        <x:f>IF(D63="Eligible purpose",20*SUMPRODUCT(F63:I63,'Aircraft and method'!$B$19:$E$19),"")</x:f>
        <x:v>88</x:v>
      </x:c>
      <x:c r="K63" s="14" t="n">
        <x:v>5</x:v>
      </x:c>
      <x:c r="L63" s="14" t="n">
        <x:v>4</x:v>
      </x:c>
      <x:c r="M63" s="14" t="n">
        <x:v>1</x:v>
      </x:c>
      <x:c r="N63" s="14" t="n">
        <x:v>4</x:v>
      </x:c>
      <x:c r="O63" s="14" t="n">
        <x:v>5</x:v>
      </x:c>
      <x:c r="P63" s="2" t="n">
        <x:f>SUM(K63:O63)</x:f>
        <x:v>19</x:v>
      </x:c>
      <x:c r="Q63" s="7" t="str">
        <x:v>Vision Jet conditional; H125 disabled</x:v>
      </x:c>
      <x:c r="R63" s="2" t="n">
        <x:f>IF(Catalogue!T35="","",Catalogue!T35)</x:f>
        <x:v>350.3</x:v>
      </x:c>
      <x:c r="S63" s="2" t="n">
        <x:f>IF(Catalogue!AA35="","",Catalogue!AA35)</x:f>
        <x:v>121</x:v>
      </x:c>
      <x:c r="T63" s="7" t="str">
        <x:v>Oranjemund diamond industry and marine logistics — Marine-industry specialist/equipment or executive airport transfer; proposed adaptation of existing airport mission types.</x:v>
      </x:c>
      <x:c r="U63" s="7" t="str">
        <x:v>Airborne crew chain documented. Main runway only; two closed gravel runways excluded.</x:v>
      </x:c>
      <x:c r="V63" s="2" t="n">
        <x:f>IF(AND(D63="Eligible purpose",OR(E63="Priority validation",E63="Extended network")),1,0)</x:f>
        <x:v>1</x:v>
      </x:c>
      <x:c r="W63" s="2" t="n">
        <x:f>IF(V63=1,J63+P63/1000+(1000-ROW())/1000000,-1)</x:f>
        <x:v>88.019937</x:v>
      </x:c>
      <x:c r="X63" s="2" t="str">
        <x:f>A63</x:f>
        <x:v>Offshore</x:v>
      </x:c>
      <x:c r="Y63" s="2" t="str">
        <x:f>B63</x:f>
        <x:v>FYOG</x:v>
      </x:c>
      <x:c r="Z63" s="2" t="str">
        <x:f>C63</x:f>
        <x:v>Oranjemund Airport</x:v>
      </x:c>
      <x:c r="AA63" s="2" t="n">
        <x:f>J63</x:f>
        <x:v>88</x:v>
      </x:c>
      <x:c r="AB63" s="2" t="n">
        <x:f>P63</x:f>
        <x:v>19</x:v>
      </x:c>
      <x:c r="AC63" s="2" t="str">
        <x:f>E63</x:f>
        <x:v>Priority validation</x:v>
      </x:c>
      <x:c r="AD63" s="2" t="n">
        <x:f>IF(S63="","",S63)</x:f>
        <x:v>121</x:v>
      </x:c>
      <x:c r="AE63" s="2" t="str">
        <x:f>T63</x:f>
        <x:v>Oranjemund diamond industry and marine logistics — Marine-industry specialist/equipment or executive airport transfer; proposed adaptation of existing airport mission types.</x:v>
      </x:c>
    </x:row>
    <x:row r="64" ht="54" customHeight="1">
      <x:c r="A64" s="2" t="str">
        <x:v>Offshore</x:v>
      </x:c>
      <x:c r="B64" s="2" t="str">
        <x:v>FYWE</x:v>
      </x:c>
      <x:c r="C64" s="7" t="str">
        <x:v>Eros Airport</x:v>
      </x:c>
      <x:c r="D64" s="7" t="str">
        <x:v>Eligible purpose</x:v>
      </x:c>
      <x:c r="E64" s="7" t="str">
        <x:v>Priority validation</x:v>
      </x:c>
      <x:c r="F64" s="14" t="n">
        <x:v>5</x:v>
      </x:c>
      <x:c r="G64" s="14" t="n">
        <x:v>4</x:v>
      </x:c>
      <x:c r="H64" s="14" t="n">
        <x:v>5</x:v>
      </x:c>
      <x:c r="I64" s="14" t="n">
        <x:v>5</x:v>
      </x:c>
      <x:c r="J64" s="15" t="n">
        <x:f>IF(D64="Eligible purpose",20*SUMPRODUCT(F64:I64,'Aircraft and method'!$B$19:$E$19),"")</x:f>
        <x:v>96</x:v>
      </x:c>
      <x:c r="K64" s="14" t="n">
        <x:v>4</x:v>
      </x:c>
      <x:c r="L64" s="14" t="n">
        <x:v>4</x:v>
      </x:c>
      <x:c r="M64" s="14" t="n">
        <x:v>1</x:v>
      </x:c>
      <x:c r="N64" s="14" t="n">
        <x:v>2</x:v>
      </x:c>
      <x:c r="O64" s="14" t="n">
        <x:v>4</x:v>
      </x:c>
      <x:c r="P64" s="2" t="n">
        <x:f>SUM(K64:O64)</x:f>
        <x:v>15</x:v>
      </x:c>
      <x:c r="Q64" s="7" t="str">
        <x:v>Vision Jet conditional; H125 disabled</x:v>
      </x:c>
      <x:c r="R64" s="2" t="n">
        <x:f>IF(Catalogue!T62="","",Catalogue!T62)</x:f>
        <x:v>136.6</x:v>
      </x:c>
      <x:c r="S64" s="2" t="n">
        <x:f>IF(Catalogue!AA62="","",Catalogue!AA62)</x:f>
        <x:v>56</x:v>
      </x:c>
      <x:c r="T64" s="7" t="str">
        <x:v>Windhoek corporate offices / NAMCOR — Marine-industry specialist/equipment or executive airport transfer; proposed adaptation of existing airport mission types.</x:v>
      </x:c>
      <x:c r="U64" s="7" t="str">
        <x:v>Existing Offshore destination; airport supports corporate/specialist liaison by inference from real city office, not a claimed charter contract.</x:v>
      </x:c>
      <x:c r="V64" s="2" t="n">
        <x:f>IF(AND(D64="Eligible purpose",OR(E64="Priority validation",E64="Extended network")),1,0)</x:f>
        <x:v>1</x:v>
      </x:c>
      <x:c r="W64" s="2" t="n">
        <x:f>IF(V64=1,J64+P64/1000+(1000-ROW())/1000000,-1)</x:f>
        <x:v>96.015936</x:v>
      </x:c>
      <x:c r="X64" s="2" t="str">
        <x:f>A64</x:f>
        <x:v>Offshore</x:v>
      </x:c>
      <x:c r="Y64" s="2" t="str">
        <x:f>B64</x:f>
        <x:v>FYWE</x:v>
      </x:c>
      <x:c r="Z64" s="2" t="str">
        <x:f>C64</x:f>
        <x:v>Eros Airport</x:v>
      </x:c>
      <x:c r="AA64" s="2" t="n">
        <x:f>J64</x:f>
        <x:v>96</x:v>
      </x:c>
      <x:c r="AB64" s="2" t="n">
        <x:f>P64</x:f>
        <x:v>15</x:v>
      </x:c>
      <x:c r="AC64" s="2" t="str">
        <x:f>E64</x:f>
        <x:v>Priority validation</x:v>
      </x:c>
      <x:c r="AD64" s="2" t="n">
        <x:f>IF(S64="","",S64)</x:f>
        <x:v>56</x:v>
      </x:c>
      <x:c r="AE64" s="2" t="str">
        <x:f>T64</x:f>
        <x:v>Windhoek corporate offices / NAMCOR — Marine-industry specialist/equipment or executive airport transfer; proposed adaptation of existing airport mission types.</x:v>
      </x:c>
    </x:row>
    <x:row r="65" ht="54" customHeight="1">
      <x:c r="A65" s="2" t="str">
        <x:v>Offshore</x:v>
      </x:c>
      <x:c r="B65" s="2" t="str">
        <x:v>FYWH</x:v>
      </x:c>
      <x:c r="C65" s="7" t="str">
        <x:v>Hosea Kutako International Airport</x:v>
      </x:c>
      <x:c r="D65" s="7" t="str">
        <x:v>Eligible purpose</x:v>
      </x:c>
      <x:c r="E65" s="7" t="str">
        <x:v>Priority validation</x:v>
      </x:c>
      <x:c r="F65" s="14" t="n">
        <x:v>5</x:v>
      </x:c>
      <x:c r="G65" s="14" t="n">
        <x:v>5</x:v>
      </x:c>
      <x:c r="H65" s="14" t="n">
        <x:v>5</x:v>
      </x:c>
      <x:c r="I65" s="14" t="n">
        <x:v>5</x:v>
      </x:c>
      <x:c r="J65" s="15" t="n">
        <x:f>IF(D65="Eligible purpose",20*SUMPRODUCT(F65:I65,'Aircraft and method'!$B$19:$E$19),"")</x:f>
        <x:v>100</x:v>
      </x:c>
      <x:c r="K65" s="14" t="n">
        <x:v>3</x:v>
      </x:c>
      <x:c r="L65" s="14" t="n">
        <x:v>3</x:v>
      </x:c>
      <x:c r="M65" s="14" t="n">
        <x:v>1</x:v>
      </x:c>
      <x:c r="N65" s="14" t="n">
        <x:v>2</x:v>
      </x:c>
      <x:c r="O65" s="14" t="n">
        <x:v>4</x:v>
      </x:c>
      <x:c r="P65" s="2" t="n">
        <x:f>SUM(K65:O65)</x:f>
        <x:v>13</x:v>
      </x:c>
      <x:c r="Q65" s="7" t="str">
        <x:v>Vision Jet conditional; H125 disabled</x:v>
      </x:c>
      <x:c r="R65" s="2" t="n">
        <x:f>IF(Catalogue!T63="","",Catalogue!T63)</x:f>
        <x:v>159.3</x:v>
      </x:c>
      <x:c r="S65" s="2" t="n">
        <x:f>IF(Catalogue!AA63="","",Catalogue!AA63)</x:f>
        <x:v>63</x:v>
      </x:c>
      <x:c r="T65" s="7" t="str">
        <x:v>Windhoek international business gateway — Marine-industry specialist/equipment or executive airport transfer; proposed adaptation of existing airport mission types.</x:v>
      </x:c>
      <x:c r="U65" s="7" t="str">
        <x:v>Executive/international connections and petroleum specialists plausible; separate from Eros local-office role.</x:v>
      </x:c>
      <x:c r="V65" s="2" t="n">
        <x:f>IF(AND(D65="Eligible purpose",OR(E65="Priority validation",E65="Extended network")),1,0)</x:f>
        <x:v>1</x:v>
      </x:c>
      <x:c r="W65" s="2" t="n">
        <x:f>IF(V65=1,J65+P65/1000+(1000-ROW())/1000000,-1)</x:f>
        <x:v>100.013935</x:v>
      </x:c>
      <x:c r="X65" s="2" t="str">
        <x:f>A65</x:f>
        <x:v>Offshore</x:v>
      </x:c>
      <x:c r="Y65" s="2" t="str">
        <x:f>B65</x:f>
        <x:v>FYWH</x:v>
      </x:c>
      <x:c r="Z65" s="2" t="str">
        <x:f>C65</x:f>
        <x:v>Hosea Kutako International Airport</x:v>
      </x:c>
      <x:c r="AA65" s="2" t="n">
        <x:f>J65</x:f>
        <x:v>100</x:v>
      </x:c>
      <x:c r="AB65" s="2" t="n">
        <x:f>P65</x:f>
        <x:v>13</x:v>
      </x:c>
      <x:c r="AC65" s="2" t="str">
        <x:f>E65</x:f>
        <x:v>Priority validation</x:v>
      </x:c>
      <x:c r="AD65" s="2" t="n">
        <x:f>IF(S65="","",S65)</x:f>
        <x:v>63</x:v>
      </x:c>
      <x:c r="AE65" s="2" t="str">
        <x:f>T65</x:f>
        <x:v>Windhoek international business gateway — Marine-industry specialist/equipment or executive airport transfer; proposed adaptation of existing airport mission types.</x:v>
      </x:c>
    </x:row>
    <x:row r="66" ht="68" customHeight="1">
      <x:c r="A66" s="2" t="str">
        <x:v>Offshore</x:v>
      </x:c>
      <x:c r="B66" s="2" t="str">
        <x:v>FYSM</x:v>
      </x:c>
      <x:c r="C66" s="7" t="str">
        <x:v>Swakopmund Municipal Aerodrome</x:v>
      </x:c>
      <x:c r="D66" s="7" t="str">
        <x:v>Eligible purpose</x:v>
      </x:c>
      <x:c r="E66" s="7" t="str">
        <x:v>Research hold</x:v>
      </x:c>
      <x:c r="F66" s="14" t="n">
        <x:v>3</x:v>
      </x:c>
      <x:c r="G66" s="14" t="n">
        <x:v>1</x:v>
      </x:c>
      <x:c r="H66" s="14" t="n">
        <x:v>3</x:v>
      </x:c>
      <x:c r="I66" s="14" t="n">
        <x:v>3</x:v>
      </x:c>
      <x:c r="J66" s="15" t="n">
        <x:f>IF(D66="Eligible purpose",20*SUMPRODUCT(F66:I66,'Aircraft and method'!$B$19:$E$19),"")</x:f>
        <x:v>52</x:v>
      </x:c>
      <x:c r="K66" s="14" t="n">
        <x:v>5</x:v>
      </x:c>
      <x:c r="L66" s="14" t="n">
        <x:v>3</x:v>
      </x:c>
      <x:c r="M66" s="14" t="n">
        <x:v>2</x:v>
      </x:c>
      <x:c r="N66" s="14" t="n">
        <x:v>2</x:v>
      </x:c>
      <x:c r="O66" s="14" t="n">
        <x:v>4</x:v>
      </x:c>
      <x:c r="P66" s="2" t="n">
        <x:f>SUM(K66:O66)</x:f>
        <x:v>16</x:v>
      </x:c>
      <x:c r="Q66" s="7" t="str">
        <x:v>Vision Jet conditional; H125 disabled</x:v>
      </x:c>
      <x:c r="R66" s="2" t="n">
        <x:f>IF(Catalogue!T32="","",Catalogue!T32)</x:f>
        <x:v>19.6</x:v>
      </x:c>
      <x:c r="S66" s="2" t="n">
        <x:f>IF(Catalogue!AA32="","",Catalogue!AA32)</x:f>
        <x:v>18</x:v>
      </x:c>
      <x:c r="T66" s="7" t="str">
        <x:v>Swakopmund uranium-service hub / Langer Heinrich road transfer — Marine-industry specialist/equipment or executive airport transfer; proposed adaptation of existing airport mission types.</x:v>
      </x:c>
      <x:c r="U66" s="7" t="str">
        <x:v>Industrial spares/specialists plausible through city; mine is about 80 km east, not adjacent to runway.</x:v>
      </x:c>
      <x:c r="V66" s="2" t="n">
        <x:f>IF(AND(D66="Eligible purpose",OR(E66="Priority validation",E66="Extended network")),1,0)</x:f>
        <x:v>0</x:v>
      </x:c>
      <x:c r="W66" s="2" t="n">
        <x:f>IF(V66=1,J66+P66/1000+(1000-ROW())/1000000,-1)</x:f>
        <x:v>-1</x:v>
      </x:c>
      <x:c r="X66" s="2" t="str">
        <x:f>A66</x:f>
        <x:v>Offshore</x:v>
      </x:c>
      <x:c r="Y66" s="2" t="str">
        <x:f>B66</x:f>
        <x:v>FYSM</x:v>
      </x:c>
      <x:c r="Z66" s="2" t="str">
        <x:f>C66</x:f>
        <x:v>Swakopmund Municipal Aerodrome</x:v>
      </x:c>
      <x:c r="AA66" s="2" t="n">
        <x:f>J66</x:f>
        <x:v>52</x:v>
      </x:c>
      <x:c r="AB66" s="2" t="n">
        <x:f>P66</x:f>
        <x:v>16</x:v>
      </x:c>
      <x:c r="AC66" s="2" t="str">
        <x:f>E66</x:f>
        <x:v>Research hold</x:v>
      </x:c>
      <x:c r="AD66" s="2" t="n">
        <x:f>IF(S66="","",S66)</x:f>
        <x:v>18</x:v>
      </x:c>
      <x:c r="AE66" s="2" t="str">
        <x:f>T66</x:f>
        <x:v>Swakopmund uranium-service hub / Langer Heinrich road transfer — Marine-industry specialist/equipment or executive airport transfer; proposed adaptation of existing airport mission types.</x:v>
      </x:c>
    </x:row>
    <x:row r="67" ht="54" customHeight="1">
      <x:c r="A67" s="2" t="str">
        <x:v>Offshore</x:v>
      </x:c>
      <x:c r="B67" s="2" t="str">
        <x:v>FACT</x:v>
      </x:c>
      <x:c r="C67" s="7" t="str">
        <x:v>Cape Town International Airport</x:v>
      </x:c>
      <x:c r="D67" s="7" t="str">
        <x:v>Eligible purpose</x:v>
      </x:c>
      <x:c r="E67" s="7" t="str">
        <x:v>Extended network</x:v>
      </x:c>
      <x:c r="F67" s="14" t="n">
        <x:v>5</x:v>
      </x:c>
      <x:c r="G67" s="14" t="n">
        <x:v>5</x:v>
      </x:c>
      <x:c r="H67" s="14" t="n">
        <x:v>3</x:v>
      </x:c>
      <x:c r="I67" s="14" t="n">
        <x:v>4</x:v>
      </x:c>
      <x:c r="J67" s="15" t="n">
        <x:f>IF(D67="Eligible purpose",20*SUMPRODUCT(F67:I67,'Aircraft and method'!$B$19:$E$19),"")</x:f>
        <x:v>88</x:v>
      </x:c>
      <x:c r="K67" s="14" t="n">
        <x:v>5</x:v>
      </x:c>
      <x:c r="L67" s="14" t="n">
        <x:v>4</x:v>
      </x:c>
      <x:c r="M67" s="14" t="n">
        <x:v>1</x:v>
      </x:c>
      <x:c r="N67" s="14" t="n">
        <x:v>2</x:v>
      </x:c>
      <x:c r="O67" s="14" t="n">
        <x:v>5</x:v>
      </x:c>
      <x:c r="P67" s="2" t="n">
        <x:f>SUM(K67:O67)</x:f>
        <x:v>17</x:v>
      </x:c>
      <x:c r="Q67" s="7" t="str">
        <x:v>Vision Jet conditional; H125 disabled</x:v>
      </x:c>
      <x:c r="R67" s="2" t="n">
        <x:f>IF(Catalogue!T65="","",Catalogue!T65)</x:f>
        <x:v>692.2</x:v>
      </x:c>
      <x:c r="S67" s="2" t="n">
        <x:f>IF(Catalogue!AA65="","",Catalogue!AA65)</x:f>
        <x:v>223</x:v>
      </x:c>
      <x:c r="T67" s="7" t="str">
        <x:v>Cape Town marine logistics / technical support — Marine-industry specialist/equipment or executive airport transfer; proposed adaptation of existing airport mission types.</x:v>
      </x:c>
      <x:c r="U67" s="7" t="str">
        <x:v>Documented Cape Town–Oranjemund crew chain; extension from Walvis Bay is a proposed executive/specialist mission. Cross-border clearance, reserves and current aircraft implementation required.</x:v>
      </x:c>
      <x:c r="V67" s="2" t="n">
        <x:f>IF(AND(D67="Eligible purpose",OR(E67="Priority validation",E67="Extended network")),1,0)</x:f>
        <x:v>1</x:v>
      </x:c>
      <x:c r="W67" s="2" t="n">
        <x:f>IF(V67=1,J67+P67/1000+(1000-ROW())/1000000,-1)</x:f>
        <x:v>88.017933</x:v>
      </x:c>
      <x:c r="X67" s="2" t="str">
        <x:f>A67</x:f>
        <x:v>Offshore</x:v>
      </x:c>
      <x:c r="Y67" s="2" t="str">
        <x:f>B67</x:f>
        <x:v>FACT</x:v>
      </x:c>
      <x:c r="Z67" s="2" t="str">
        <x:f>C67</x:f>
        <x:v>Cape Town International Airport</x:v>
      </x:c>
      <x:c r="AA67" s="2" t="n">
        <x:f>J67</x:f>
        <x:v>88</x:v>
      </x:c>
      <x:c r="AB67" s="2" t="n">
        <x:f>P67</x:f>
        <x:v>17</x:v>
      </x:c>
      <x:c r="AC67" s="2" t="str">
        <x:f>E67</x:f>
        <x:v>Extended network</x:v>
      </x:c>
      <x:c r="AD67" s="2" t="n">
        <x:f>IF(S67="","",S67)</x:f>
        <x:v>223</x:v>
      </x:c>
      <x:c r="AE67" s="2" t="str">
        <x:f>T67</x:f>
        <x:v>Cape Town marine logistics / technical support — Marine-industry specialist/equipment or executive airport transfer; proposed adaptation of existing airport mission types.</x:v>
      </x:c>
    </x:row>
    <x:row r="68" ht="54" customHeight="1">
      <x:c r="A68" s="2" t="str">
        <x:v>Offshore</x:v>
      </x:c>
      <x:c r="B68" s="2" t="str">
        <x:v>FYAR</x:v>
      </x:c>
      <x:c r="C68" s="7" t="str">
        <x:v>Arandis Airport</x:v>
      </x:c>
      <x:c r="D68" s="7" t="str">
        <x:v>Ineligible purpose</x:v>
      </x:c>
      <x:c r="E68" s="7" t="str">
        <x:v>Reject Offshore association</x:v>
      </x:c>
      <x:c r="F68" s="14"/>
      <x:c r="G68" s="14"/>
      <x:c r="H68" s="14"/>
      <x:c r="I68" s="14"/>
      <x:c r="J68" s="15" t="str">
        <x:f>IF(D68="Eligible purpose",20*SUMPRODUCT(F68:I68,'Aircraft and method'!$B$19:$E$19),"")</x:f>
      </x:c>
      <x:c r="K68" s="14" t="n">
        <x:v>4</x:v>
      </x:c>
      <x:c r="L68" s="14" t="n">
        <x:v>3</x:v>
      </x:c>
      <x:c r="M68" s="14" t="n">
        <x:v>1</x:v>
      </x:c>
      <x:c r="N68" s="14" t="n">
        <x:v>3</x:v>
      </x:c>
      <x:c r="O68" s="14" t="n">
        <x:v>4</x:v>
      </x:c>
      <x:c r="P68" s="2" t="n">
        <x:f>SUM(K68:O68)</x:f>
        <x:v>15</x:v>
      </x:c>
      <x:c r="Q68" s="7" t="str">
        <x:v>Vision Jet conditional; H125 disabled</x:v>
      </x:c>
      <x:c r="R68" s="2" t="n">
        <x:f>IF(Catalogue!T26="","",Catalogue!T26)</x:f>
        <x:v>36.2</x:v>
      </x:c>
      <x:c r="S68" s="2" t="n">
        <x:f>IF(Catalogue!AA26="","",Catalogue!AA26)</x:f>
        <x:v>25</x:v>
      </x:c>
      <x:c r="T68" s="7" t="str">
        <x:v>Arandis / Rössing uranium mine — No evidenced Offshore-specific service requirement in this pass. Industrial membership at Arandis remains valid.</x:v>
      </x:c>
      <x:c r="U68" s="7" t="str">
        <x:v>Retain existing accepted airport and prototype economy role; road transfer to mine. No radioactive cargo proposed.</x:v>
      </x:c>
      <x:c r="V68" s="2" t="n">
        <x:f>IF(AND(D68="Eligible purpose",OR(E68="Priority validation",E68="Extended network")),1,0)</x:f>
        <x:v>0</x:v>
      </x:c>
      <x:c r="W68" s="2" t="n">
        <x:f>IF(V68=1,J68+P68/1000+(1000-ROW())/1000000,-1)</x:f>
        <x:v>-1</x:v>
      </x:c>
      <x:c r="X68" s="2" t="str">
        <x:f>A68</x:f>
        <x:v>Offshore</x:v>
      </x:c>
      <x:c r="Y68" s="2" t="str">
        <x:f>B68</x:f>
        <x:v>FYAR</x:v>
      </x:c>
      <x:c r="Z68" s="2" t="str">
        <x:f>C68</x:f>
        <x:v>Arandis Airport</x:v>
      </x:c>
      <x:c r="AA68" s="2" t="str">
        <x:f>J68</x:f>
      </x:c>
      <x:c r="AB68" s="2" t="n">
        <x:f>P68</x:f>
        <x:v>15</x:v>
      </x:c>
      <x:c r="AC68" s="2" t="str">
        <x:f>E68</x:f>
        <x:v>Reject Offshore association</x:v>
      </x:c>
      <x:c r="AD68" s="2" t="n">
        <x:f>IF(S68="","",S68)</x:f>
        <x:v>25</x:v>
      </x:c>
      <x:c r="AE68" s="2" t="str">
        <x:f>T68</x:f>
        <x:v>Arandis / Rössing uranium mine — No evidenced Offshore-specific service requirement in this pass. Industrial membership at Arandis remains valid.</x:v>
      </x:c>
    </x:row>
    <x:row r="69" ht="54" customHeight="1">
      <x:c r="A69" s="2" t="str">
        <x:v>Offshore</x:v>
      </x:c>
      <x:c r="B69" s="2" t="str">
        <x:v>FYKT</x:v>
      </x:c>
      <x:c r="C69" s="7" t="str">
        <x:v>Keetmanshoop Airport</x:v>
      </x:c>
      <x:c r="D69" s="7" t="str">
        <x:v>Ineligible purpose</x:v>
      </x:c>
      <x:c r="E69" s="7" t="str">
        <x:v>Research hold</x:v>
      </x:c>
      <x:c r="F69" s="14"/>
      <x:c r="G69" s="14"/>
      <x:c r="H69" s="14"/>
      <x:c r="I69" s="14"/>
      <x:c r="J69" s="15" t="str">
        <x:f>IF(D69="Eligible purpose",20*SUMPRODUCT(F69:I69,'Aircraft and method'!$B$19:$E$19),"")</x:f>
      </x:c>
      <x:c r="K69" s="14" t="n">
        <x:v>3</x:v>
      </x:c>
      <x:c r="L69" s="14" t="n">
        <x:v>3</x:v>
      </x:c>
      <x:c r="M69" s="14" t="n">
        <x:v>1</x:v>
      </x:c>
      <x:c r="N69" s="14" t="n">
        <x:v>3</x:v>
      </x:c>
      <x:c r="O69" s="14" t="n">
        <x:v>4</x:v>
      </x:c>
      <x:c r="P69" s="2" t="n">
        <x:f>SUM(K69:O69)</x:f>
        <x:v>14</x:v>
      </x:c>
      <x:c r="Q69" s="7" t="str">
        <x:v>Vision Jet conditional; H125 disabled</x:v>
      </x:c>
      <x:c r="R69" s="2" t="n">
        <x:f>IF(Catalogue!T64="","",Catalogue!T64)</x:f>
        <x:v>285.3</x:v>
      </x:c>
      <x:c r="S69" s="2" t="n">
        <x:f>IF(Catalogue!AA64="","",Catalogue!AA64)</x:f>
        <x:v>101</x:v>
      </x:c>
      <x:c r="T69" s="7" t="str">
        <x:v>Keetmanshoop regional airport — No evidenced Offshore-specific service requirement in this pass. Industrial membership at Arandis remains valid.</x:v>
      </x:c>
      <x:c r="U69" s="7" t="str">
        <x:v>Existing Offshore member; no named petroleum/executive client or regular logistics chain established. Hold rather than invent demand.</x:v>
      </x:c>
      <x:c r="V69" s="2" t="n">
        <x:f>IF(AND(D69="Eligible purpose",OR(E69="Priority validation",E69="Extended network")),1,0)</x:f>
        <x:v>0</x:v>
      </x:c>
      <x:c r="W69" s="2" t="n">
        <x:f>IF(V69=1,J69+P69/1000+(1000-ROW())/1000000,-1)</x:f>
        <x:v>-1</x:v>
      </x:c>
      <x:c r="X69" s="2" t="str">
        <x:f>A69</x:f>
        <x:v>Offshore</x:v>
      </x:c>
      <x:c r="Y69" s="2" t="str">
        <x:f>B69</x:f>
        <x:v>FYKT</x:v>
      </x:c>
      <x:c r="Z69" s="2" t="str">
        <x:f>C69</x:f>
        <x:v>Keetmanshoop Airport</x:v>
      </x:c>
      <x:c r="AA69" s="2" t="str">
        <x:f>J69</x:f>
      </x:c>
      <x:c r="AB69" s="2" t="n">
        <x:f>P69</x:f>
        <x:v>14</x:v>
      </x:c>
      <x:c r="AC69" s="2" t="str">
        <x:f>E69</x:f>
        <x:v>Research hold</x:v>
      </x:c>
      <x:c r="AD69" s="2" t="n">
        <x:f>IF(S69="","",S69)</x:f>
        <x:v>101</x:v>
      </x:c>
      <x:c r="AE69" s="2" t="str">
        <x:f>T69</x:f>
        <x:v>Keetmanshoop regional airport — No evidenced Offshore-specific service requirement in this pass. Industrial membership at Arandis remains valid.</x:v>
      </x:c>
    </x:row>
    <x:row r="70" ht="54" customHeight="1">
      <x:c r="A70" s="2" t="str">
        <x:v>Safari</x:v>
      </x:c>
      <x:c r="B70" s="2" t="str">
        <x:v>FYTK</x:v>
      </x:c>
      <x:c r="C70" s="7" t="str">
        <x:v>Tsumkwe Airport</x:v>
      </x:c>
      <x:c r="D70" s="7" t="str">
        <x:v>Eligible purpose</x:v>
      </x:c>
      <x:c r="E70" s="7" t="str">
        <x:v>Extended network</x:v>
      </x:c>
      <x:c r="F70" s="14" t="n">
        <x:v>4</x:v>
      </x:c>
      <x:c r="G70" s="14" t="n">
        <x:v>1</x:v>
      </x:c>
      <x:c r="H70" s="14" t="n">
        <x:v>3</x:v>
      </x:c>
      <x:c r="I70" s="14" t="n">
        <x:v>4</x:v>
      </x:c>
      <x:c r="J70" s="15" t="n">
        <x:f>IF(D70="Eligible purpose",20*SUMPRODUCT(F70:I70,'Aircraft and method'!$B$17:$E$17),"")</x:f>
        <x:v>67</x:v>
      </x:c>
      <x:c r="K70" s="14" t="n">
        <x:v>4</x:v>
      </x:c>
      <x:c r="L70" s="14" t="n">
        <x:v>3</x:v>
      </x:c>
      <x:c r="M70" s="14" t="n">
        <x:v>3</x:v>
      </x:c>
      <x:c r="N70" s="14" t="n">
        <x:v>5</x:v>
      </x:c>
      <x:c r="O70" s="14" t="n">
        <x:v>5</x:v>
      </x:c>
      <x:c r="P70" s="2" t="n">
        <x:f>SUM(K70:O70)</x:f>
        <x:v>20</x:v>
      </x:c>
      <x:c r="Q70" s="7" t="str">
        <x:v>Bonanza / PA-28 / Cub conditional</x:v>
      </x:c>
      <x:c r="R70" s="2" t="n">
        <x:f>IF(Catalogue!S12="","",Catalogue!S12)</x:f>
        <x:v>261.9</x:v>
      </x:c>
      <x:c r="S70" s="2" t="n">
        <x:f>IF(Catalogue!X12="","",Catalogue!X12)</x:f>
        <x:v>122</x:v>
      </x:c>
      <x:c r="T70" s="7" t="str">
        <x:v>Tsumkwe / Nyae Nyae community and conservancy — Conservancy liaison/equipment and community-led tourism support distinct from community supplies.</x:v>
      </x:c>
      <x:c r="U70" s="7" t="str">
        <x:v>Teacher, community liaison and supplies credible; medical evacuation equipment not established.</x:v>
      </x:c>
      <x:c r="V70" s="2" t="n">
        <x:f>IF(AND(D70="Eligible purpose",OR(E70="Priority validation",E70="Extended network")),1,0)</x:f>
        <x:v>1</x:v>
      </x:c>
      <x:c r="W70" s="2" t="n">
        <x:f>IF(V70=1,J70+P70/1000+(1000-ROW())/1000000,-1)</x:f>
        <x:v>67.02092999999999</x:v>
      </x:c>
      <x:c r="X70" s="2" t="str">
        <x:f>A70</x:f>
        <x:v>Safari</x:v>
      </x:c>
      <x:c r="Y70" s="2" t="str">
        <x:f>B70</x:f>
        <x:v>FYTK</x:v>
      </x:c>
      <x:c r="Z70" s="2" t="str">
        <x:f>C70</x:f>
        <x:v>Tsumkwe Airport</x:v>
      </x:c>
      <x:c r="AA70" s="2" t="n">
        <x:f>J70</x:f>
        <x:v>67</x:v>
      </x:c>
      <x:c r="AB70" s="2" t="n">
        <x:f>P70</x:f>
        <x:v>20</x:v>
      </x:c>
      <x:c r="AC70" s="2" t="str">
        <x:f>E70</x:f>
        <x:v>Extended network</x:v>
      </x:c>
      <x:c r="AD70" s="2" t="n">
        <x:f>IF(S70="","",S70)</x:f>
        <x:v>122</x:v>
      </x:c>
      <x:c r="AE70" s="2" t="str">
        <x:f>T70</x:f>
        <x:v>Tsumkwe / Nyae Nyae community and conservancy — Conservancy liaison/equipment and community-led tourism support distinct from community supplies.</x:v>
      </x:c>
    </x:row>
    <x:row r="71" ht="68" customHeight="1">
      <x:c r="A71" s="2" t="str">
        <x:v>Offshore</x:v>
      </x:c>
      <x:c r="B71" s="2" t="str">
        <x:v>offshore-benguela-gem</x:v>
      </x:c>
      <x:c r="C71" s="7" t="str">
        <x:v>Benguela Gem marine diamond vessel</x:v>
      </x:c>
      <x:c r="D71" s="7" t="str">
        <x:v>Eligible purpose</x:v>
      </x:c>
      <x:c r="E71" s="7" t="str">
        <x:v>Deferred: mobile deck qualification</x:v>
      </x:c>
      <x:c r="F71" s="14" t="n">
        <x:v>5</x:v>
      </x:c>
      <x:c r="G71" s="14" t="n">
        <x:v>0</x:v>
      </x:c>
      <x:c r="H71" s="14" t="n">
        <x:v>0</x:v>
      </x:c>
      <x:c r="I71" s="14" t="n">
        <x:v>4</x:v>
      </x:c>
      <x:c r="J71" s="15" t="n">
        <x:f>IF(D71="Eligible purpose",20*SUMPRODUCT(F71:I71,'Aircraft and method'!$B$19:$E$19),"")</x:f>
        <x:v>56</x:v>
      </x:c>
      <x:c r="K71" s="14" t="n">
        <x:v>4</x:v>
      </x:c>
      <x:c r="L71" s="14" t="n">
        <x:v>4</x:v>
      </x:c>
      <x:c r="M71" s="14" t="n">
        <x:v>5</x:v>
      </x:c>
      <x:c r="N71" s="14" t="n">
        <x:v>5</x:v>
      </x:c>
      <x:c r="O71" s="14" t="n">
        <x:v>5</x:v>
      </x:c>
      <x:c r="P71" s="2" t="n">
        <x:f>SUM(K71:O71)</x:f>
        <x:v>23</x:v>
      </x:c>
      <x:c r="Q71" s="7" t="str">
        <x:v>H125 unavailable; no landing approval</x:v>
      </x:c>
      <x:c r="R71" s="2" t="str">
        <x:f>IF(Catalogue!T66="","",Catalogue!T66)</x:f>
      </x:c>
      <x:c r="S71" s="2" t="str">
        <x:f>IF(Catalogue!AA66="","",Catalogue!AA66)</x:f>
      </x:c>
      <x:c r="T71" s="7" t="str">
        <x:v>Benguela Gem marine diamond vessel — Crew/specialist transfer is real only for the vessel; development licence areas provide no landing facility.</x:v>
      </x:c>
      <x:c r="U71" s="7" t="str">
        <x:v>Real helicopter crew-change purpose; mobile vessel, no persistent landing coordinate or simulator deck evidence. H125 disabled and offshore single-engine suitability unqualified. Not a stationary platform.</x:v>
      </x:c>
      <x:c r="V71" s="2" t="n">
        <x:f>IF(AND(D71="Eligible purpose",OR(E71="Priority validation",E71="Extended network")),1,0)</x:f>
        <x:v>0</x:v>
      </x:c>
      <x:c r="W71" s="2" t="n">
        <x:f>IF(V71=1,J71+P71/1000+(1000-ROW())/1000000,-1)</x:f>
        <x:v>-1</x:v>
      </x:c>
      <x:c r="X71" s="2" t="str">
        <x:f>A71</x:f>
        <x:v>Offshore</x:v>
      </x:c>
      <x:c r="Y71" s="2" t="str">
        <x:f>B71</x:f>
        <x:v>offshore-benguela-gem</x:v>
      </x:c>
      <x:c r="Z71" s="2" t="str">
        <x:f>C71</x:f>
        <x:v>Benguela Gem marine diamond vessel</x:v>
      </x:c>
      <x:c r="AA71" s="2" t="n">
        <x:f>J71</x:f>
        <x:v>56</x:v>
      </x:c>
      <x:c r="AB71" s="2" t="n">
        <x:f>P71</x:f>
        <x:v>23</x:v>
      </x:c>
      <x:c r="AC71" s="2" t="str">
        <x:f>E71</x:f>
        <x:v>Deferred: mobile deck qualification</x:v>
      </x:c>
      <x:c r="AD71" s="2" t="str">
        <x:f>IF(S71="","",S71)</x:f>
      </x:c>
      <x:c r="AE71" s="2" t="str">
        <x:f>T71</x:f>
        <x:v>Benguela Gem marine diamond vessel — Crew/specialist transfer is real only for the vessel; development licence areas provide no landing facility.</x:v>
      </x:c>
    </x:row>
    <x:row r="72" ht="54" customHeight="1">
      <x:c r="A72" s="2" t="str">
        <x:v>Offshore</x:v>
      </x:c>
      <x:c r="B72" s="2" t="str">
        <x:v>offshore-kudu</x:v>
      </x:c>
      <x:c r="C72" s="7" t="str">
        <x:v>Kudu gas development area</x:v>
      </x:c>
      <x:c r="D72" s="7" t="str">
        <x:v>Ineligible purpose</x:v>
      </x:c>
      <x:c r="E72" s="7" t="str">
        <x:v>Reject current landing destination</x:v>
      </x:c>
      <x:c r="F72" s="14"/>
      <x:c r="G72" s="14"/>
      <x:c r="H72" s="14"/>
      <x:c r="I72" s="14"/>
      <x:c r="J72" s="15" t="str">
        <x:f>IF(D72="Eligible purpose",20*SUMPRODUCT(F72:I72,'Aircraft and method'!$B$19:$E$19),"")</x:f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0</x:v>
      </x:c>
      <x:c r="P72" s="2" t="n">
        <x:f>SUM(K72:O72)</x:f>
        <x:v>0</x:v>
      </x:c>
      <x:c r="Q72" s="7" t="str">
        <x:v>H125 unavailable; no landing approval</x:v>
      </x:c>
      <x:c r="R72" s="2" t="str">
        <x:f>IF(Catalogue!T67="","",Catalogue!T67)</x:f>
      </x:c>
      <x:c r="S72" s="2" t="str">
        <x:f>IF(Catalogue!AA67="","",Catalogue!AA67)</x:f>
      </x:c>
      <x:c r="T72" s="7" t="str">
        <x:v>Kudu gas development area — Crew/specialist transfer is real only for the vessel; development licence areas provide no landing facility.</x:v>
      </x:c>
      <x:c r="U72" s="7" t="str">
        <x:v>Operator lists production TBD and installation NA. A discovery/licence is not a landable platform; reject current landing destination. No field-centre coordinate substituted.</x:v>
      </x:c>
      <x:c r="V72" s="2" t="n">
        <x:f>IF(AND(D72="Eligible purpose",OR(E72="Priority validation",E72="Extended network")),1,0)</x:f>
        <x:v>0</x:v>
      </x:c>
      <x:c r="W72" s="2" t="n">
        <x:f>IF(V72=1,J72+P72/1000+(1000-ROW())/1000000,-1)</x:f>
        <x:v>-1</x:v>
      </x:c>
      <x:c r="X72" s="2" t="str">
        <x:f>A72</x:f>
        <x:v>Offshore</x:v>
      </x:c>
      <x:c r="Y72" s="2" t="str">
        <x:f>B72</x:f>
        <x:v>offshore-kudu</x:v>
      </x:c>
      <x:c r="Z72" s="2" t="str">
        <x:f>C72</x:f>
        <x:v>Kudu gas development area</x:v>
      </x:c>
      <x:c r="AA72" s="2" t="str">
        <x:f>J72</x:f>
      </x:c>
      <x:c r="AB72" s="2" t="n">
        <x:f>P72</x:f>
        <x:v>0</x:v>
      </x:c>
      <x:c r="AC72" s="2" t="str">
        <x:f>E72</x:f>
        <x:v>Reject current landing destination</x:v>
      </x:c>
      <x:c r="AD72" s="2" t="str">
        <x:f>IF(S72="","",S72)</x:f>
      </x:c>
      <x:c r="AE72" s="2" t="str">
        <x:f>T72</x:f>
        <x:v>Kudu gas development area — Crew/specialist transfer is real only for the vessel; development licence areas provide no landing facility.</x:v>
      </x:c>
    </x:row>
    <x:row r="73" ht="54" customHeight="1">
      <x:c r="A73" s="2" t="str">
        <x:v>Offshore</x:v>
      </x:c>
      <x:c r="B73" s="2" t="str">
        <x:v>offshore-venus</x:v>
      </x:c>
      <x:c r="C73" s="7" t="str">
        <x:v>Venus proposed development</x:v>
      </x:c>
      <x:c r="D73" s="7" t="str">
        <x:v>Ineligible purpose</x:v>
      </x:c>
      <x:c r="E73" s="7" t="str">
        <x:v>Reject current landing destination</x:v>
      </x:c>
      <x:c r="F73" s="14"/>
      <x:c r="G73" s="14"/>
      <x:c r="H73" s="14"/>
      <x:c r="I73" s="14"/>
      <x:c r="J73" s="15" t="str">
        <x:f>IF(D73="Eligible purpose",20*SUMPRODUCT(F73:I73,'Aircraft and method'!$B$19:$E$19),"")</x:f>
      </x:c>
      <x:c r="K73" s="14" t="n">
        <x:v>0</x:v>
      </x:c>
      <x:c r="L73" s="14" t="n">
        <x:v>0</x:v>
      </x:c>
      <x:c r="M73" s="14" t="n">
        <x:v>0</x:v>
      </x:c>
      <x:c r="N73" s="14" t="n">
        <x:v>0</x:v>
      </x:c>
      <x:c r="O73" s="14" t="n">
        <x:v>0</x:v>
      </x:c>
      <x:c r="P73" s="2" t="n">
        <x:f>SUM(K73:O73)</x:f>
        <x:v>0</x:v>
      </x:c>
      <x:c r="Q73" s="7" t="str">
        <x:v>H125 unavailable; no landing approval</x:v>
      </x:c>
      <x:c r="R73" s="2" t="str">
        <x:f>IF(Catalogue!T68="","",Catalogue!T68)</x:f>
      </x:c>
      <x:c r="S73" s="2" t="str">
        <x:f>IF(Catalogue!AA68="","",Catalogue!AA68)</x:f>
      </x:c>
      <x:c r="T73" s="7" t="str">
        <x:v>Venus proposed development — Crew/specialist transfer is real only for the vessel; development licence areas provide no landing facility.</x:v>
      </x:c>
      <x:c r="U73" s="7" t="str">
        <x:v>Proposed subsea/FPSO development, not a confirmed installed simulator destination. Distant offshore reach not approved for H125; no invented pad or coordinates.</x:v>
      </x:c>
      <x:c r="V73" s="2" t="n">
        <x:f>IF(AND(D73="Eligible purpose",OR(E73="Priority validation",E73="Extended network")),1,0)</x:f>
        <x:v>0</x:v>
      </x:c>
      <x:c r="W73" s="2" t="n">
        <x:f>IF(V73=1,J73+P73/1000+(1000-ROW())/1000000,-1)</x:f>
        <x:v>-1</x:v>
      </x:c>
      <x:c r="X73" s="2" t="str">
        <x:f>A73</x:f>
        <x:v>Offshore</x:v>
      </x:c>
      <x:c r="Y73" s="2" t="str">
        <x:f>B73</x:f>
        <x:v>offshore-venus</x:v>
      </x:c>
      <x:c r="Z73" s="2" t="str">
        <x:f>C73</x:f>
        <x:v>Venus proposed development</x:v>
      </x:c>
      <x:c r="AA73" s="2" t="n">
        <x:f>J73</x:f>
        <x:v>0</x:v>
      </x:c>
      <x:c r="AB73" s="2" t="n">
        <x:f>P73</x:f>
        <x:v>0</x:v>
      </x:c>
      <x:c r="AC73" s="2" t="str">
        <x:f>E73</x:f>
        <x:v>Reject current landing destination</x:v>
      </x:c>
      <x:c r="AD73" s="2" t="str">
        <x:f>IF(S73="","",S73)</x:f>
      </x:c>
      <x:c r="AE73" s="2" t="str">
        <x:f>T73</x:f>
        <x:v>Venus proposed development — Crew/specialist transfer is real only for the vessel; development licence areas provide no landing facility.</x:v>
      </x:c>
    </x:row>
  </x:sheetData>
  <x:dataValidations count="2">
    <x:dataValidation type="whole" operator="between" sqref="F6:I73">
      <x:formula1>0</x:formula1>
      <x:formula2>5</x:formula2>
    </x:dataValidation>
    <x:dataValidation type="whole" operator="between" sqref="K6:O73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922acddb4664029"/>
  </x:tableParts>
</x:worksheet>
</file>

<file path=xl/worksheets/sheet4.xml><?xml version="1.0" encoding="utf-8"?>
<x:worksheet xmlns:x="http://schemas.openxmlformats.org/spreadsheetml/2006/main">
  <x:sheetPr>
    <x:tabColor rgb="FF304E53"/>
  </x:sheetPr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8" hidden="0" customWidth="1"/>
    <x:col min="4" max="4" width="19" hidden="0" customWidth="1"/>
    <x:col min="5" max="5" width="23" hidden="0" customWidth="1"/>
    <x:col min="6" max="6" width="43" hidden="0" customWidth="1"/>
    <x:col min="7" max="7" width="18" hidden="0" customWidth="1"/>
    <x:col min="8" max="8" width="4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Aircraft and scoring assumptions · research only</x:v>
      </x:c>
      <x:c r="B2" s="5"/>
      <x:c r="C2" s="5"/>
      <x:c r="D2" s="5"/>
      <x:c r="E2" s="5"/>
      <x:c r="F2" s="5"/>
      <x:c r="G2" s="5"/>
      <x:c r="H2" s="5"/>
    </x:row>
    <x:row r="3" ht="30" customHeight="1">
      <x:c r="A3" s="2"/>
      <x:c r="B3" s="2"/>
      <x:c r="C3" s="2"/>
      <x:c r="D3" s="2"/>
      <x:c r="E3" s="2"/>
      <x:c r="F3" s="2"/>
      <x:c r="G3" s="2"/>
      <x:c r="H3" s="2"/>
    </x:row>
    <x:row r="4" ht="42" customHeight="1">
      <x:c r="A4" s="10" t="str">
        <x:v>Aircraft ID</x:v>
      </x:c>
      <x:c r="B4" s="10" t="str">
        <x:v>Implemented type</x:v>
      </x:c>
      <x:c r="C4" s="10" t="str">
        <x:v>Planning KTAS</x:v>
      </x:c>
      <x:c r="D4" s="10" t="str">
        <x:v>Airborne allowance min</x:v>
      </x:c>
      <x:c r="E4" s="10" t="str">
        <x:v>Career</x:v>
      </x:c>
      <x:c r="F4" s="10" t="str">
        <x:v>Time model</x:v>
      </x:c>
      <x:c r="G4" s="10" t="str">
        <x:v>Ground min</x:v>
      </x:c>
      <x:c r="H4" s="10" t="str">
        <x:v>Approval boundary</x:v>
      </x:c>
    </x:row>
    <x:row r="5" ht="72" customHeight="1">
      <x:c r="A5" s="7" t="str">
        <x:v>c152</x:v>
      </x:c>
      <x:c r="B5" s="7" t="str">
        <x:v>Cessna 152</x:v>
      </x:c>
      <x:c r="C5" s="11" t="n">
        <x:v>90</x:v>
      </x:c>
      <x:c r="D5" s="11" t="n">
        <x:v>8</x:v>
      </x:c>
      <x:c r="E5" s="7" t="str">
        <x:v>Missionary</x:v>
      </x:c>
      <x:c r="F5" s="7" t="str">
        <x:v>1.10 × direct NM / KTAS × 60 + allowance</x:v>
      </x:c>
      <x:c r="G5" s="7" t="n">
        <x:v>15</x:v>
      </x:c>
      <x:c r="H5" s="7" t="str">
        <x:v>Planning assumption; no payload/range/runway clearance</x:v>
      </x:c>
    </x:row>
    <x:row r="6" ht="72" customHeight="1">
      <x:c r="A6" s="7" t="str">
        <x:v>c208</x:v>
      </x:c>
      <x:c r="B6" s="7" t="str">
        <x:v>Cessna 208 Caravan</x:v>
      </x:c>
      <x:c r="C6" s="11" t="n">
        <x:v>155</x:v>
      </x:c>
      <x:c r="D6" s="11" t="n">
        <x:v>10</x:v>
      </x:c>
      <x:c r="E6" s="7" t="str">
        <x:v>Missionary / Industrial</x:v>
      </x:c>
      <x:c r="F6" s="7" t="str">
        <x:v>1.10 × direct NM / KTAS × 60 + allowance</x:v>
      </x:c>
      <x:c r="G6" s="7" t="n">
        <x:v>15</x:v>
      </x:c>
      <x:c r="H6" s="7" t="str">
        <x:v>Planning assumption; no payload/range/runway clearance</x:v>
      </x:c>
    </x:row>
    <x:row r="7" ht="72" customHeight="1">
      <x:c r="A7" s="7" t="str">
        <x:v>baron-g58</x:v>
      </x:c>
      <x:c r="B7" s="7" t="str">
        <x:v>Beechcraft Baron G58</x:v>
      </x:c>
      <x:c r="C7" s="11" t="n">
        <x:v>175</x:v>
      </x:c>
      <x:c r="D7" s="11" t="n">
        <x:v>10</x:v>
      </x:c>
      <x:c r="E7" s="7" t="str">
        <x:v>Industrial</x:v>
      </x:c>
      <x:c r="F7" s="7" t="str">
        <x:v>1.10 × direct NM / KTAS × 60 + allowance</x:v>
      </x:c>
      <x:c r="G7" s="7" t="n">
        <x:v>15</x:v>
      </x:c>
      <x:c r="H7" s="7" t="str">
        <x:v>Planning assumption; no payload/range/runway clearance</x:v>
      </x:c>
    </x:row>
    <x:row r="8" ht="72" customHeight="1">
      <x:c r="A8" s="7" t="str">
        <x:v>bonanza</x:v>
      </x:c>
      <x:c r="B8" s="7" t="str">
        <x:v>Beechcraft Bonanza</x:v>
      </x:c>
      <x:c r="C8" s="11" t="n">
        <x:v>155</x:v>
      </x:c>
      <x:c r="D8" s="11" t="n">
        <x:v>10</x:v>
      </x:c>
      <x:c r="E8" s="7" t="str">
        <x:v>Safari</x:v>
      </x:c>
      <x:c r="F8" s="7" t="str">
        <x:v>1.10 × direct NM / KTAS × 60 + allowance</x:v>
      </x:c>
      <x:c r="G8" s="7" t="n">
        <x:v>15</x:v>
      </x:c>
      <x:c r="H8" s="7" t="str">
        <x:v>Planning assumption; no payload/range/runway clearance</x:v>
      </x:c>
    </x:row>
    <x:row r="9" ht="72" customHeight="1">
      <x:c r="A9" s="7" t="str">
        <x:v>pa28</x:v>
      </x:c>
      <x:c r="B9" s="7" t="str">
        <x:v>PA-28</x:v>
      </x:c>
      <x:c r="C9" s="11" t="n">
        <x:v>110</x:v>
      </x:c>
      <x:c r="D9" s="11" t="n">
        <x:v>8</x:v>
      </x:c>
      <x:c r="E9" s="7" t="str">
        <x:v>Safari</x:v>
      </x:c>
      <x:c r="F9" s="7" t="str">
        <x:v>1.10 × direct NM / KTAS × 60 + allowance</x:v>
      </x:c>
      <x:c r="G9" s="7" t="n">
        <x:v>15</x:v>
      </x:c>
      <x:c r="H9" s="7" t="str">
        <x:v>Planning assumption; no payload/range/runway clearance</x:v>
      </x:c>
    </x:row>
    <x:row r="10" ht="72" customHeight="1">
      <x:c r="A10" s="7" t="str">
        <x:v>savage-cub</x:v>
      </x:c>
      <x:c r="B10" s="7" t="str">
        <x:v>Savage Cub</x:v>
      </x:c>
      <x:c r="C10" s="11" t="n">
        <x:v>80</x:v>
      </x:c>
      <x:c r="D10" s="11" t="n">
        <x:v>6</x:v>
      </x:c>
      <x:c r="E10" s="7" t="str">
        <x:v>Safari</x:v>
      </x:c>
      <x:c r="F10" s="7" t="str">
        <x:v>1.10 × direct NM / KTAS × 60 + allowance</x:v>
      </x:c>
      <x:c r="G10" s="7" t="n">
        <x:v>15</x:v>
      </x:c>
      <x:c r="H10" s="7" t="str">
        <x:v>Planning assumption; no payload/range/runway clearance</x:v>
      </x:c>
    </x:row>
    <x:row r="11" ht="72" customHeight="1">
      <x:c r="A11" s="7" t="str">
        <x:v>vision-jet</x:v>
      </x:c>
      <x:c r="B11" s="7" t="str">
        <x:v>Cirrus Vision Jet</x:v>
      </x:c>
      <x:c r="C11" s="11" t="n">
        <x:v>220</x:v>
      </x:c>
      <x:c r="D11" s="11" t="n">
        <x:v>15</x:v>
      </x:c>
      <x:c r="E11" s="7" t="str">
        <x:v>Offshore</x:v>
      </x:c>
      <x:c r="F11" s="7" t="str">
        <x:v>Under 60 NM: 170 kt + 10; else 220 kt + 15</x:v>
      </x:c>
      <x:c r="G11" s="7" t="n">
        <x:v>25</x:v>
      </x:c>
      <x:c r="H11" s="7" t="str">
        <x:v>Planning assumption; no payload/range/runway clearance</x:v>
      </x:c>
    </x:row>
    <x:row r="12" ht="72" customHeight="1">
      <x:c r="A12" s="7" t="str">
        <x:v>h125</x:v>
      </x:c>
      <x:c r="B12" s="7" t="str">
        <x:v>H125 — disabled</x:v>
      </x:c>
      <x:c r="C12" s="11" t="n">
        <x:v>110</x:v>
      </x:c>
      <x:c r="D12" s="11" t="n">
        <x:v>10</x:v>
      </x:c>
      <x:c r="E12" s="7" t="str">
        <x:v>Offshore future only</x:v>
      </x:c>
      <x:c r="F12" s="7" t="str">
        <x:v>Disabled; hypothetical only</x:v>
      </x:c>
      <x:c r="G12" s="7" t="n">
        <x:v>15</x:v>
      </x:c>
      <x:c r="H12" s="7" t="str">
        <x:v>Planning assumption; no payload/range/runway clearance</x:v>
      </x:c>
    </x:row>
    <x:row r="13" ht="30" customHeight="1">
      <x:c r="A13" s="2"/>
      <x:c r="B13" s="2"/>
      <x:c r="C13" s="2"/>
      <x:c r="D13" s="2"/>
      <x:c r="E13" s="2"/>
      <x:c r="F13" s="2"/>
      <x:c r="G13" s="2"/>
      <x:c r="H13" s="2"/>
    </x:row>
    <x:row r="14" ht="30" customHeight="1">
      <x:c r="A14" s="2"/>
      <x:c r="B14" s="2"/>
      <x:c r="C14" s="2"/>
      <x:c r="D14" s="2"/>
      <x:c r="E14" s="2"/>
      <x:c r="F14" s="2"/>
      <x:c r="G14" s="2"/>
      <x:c r="H14" s="2"/>
    </x:row>
    <x:row r="15" ht="30" customHeight="1">
      <x:c r="A15" s="9" t="str">
        <x:v>Career</x:v>
      </x:c>
      <x:c r="B15" s="9" t="str">
        <x:v>Purpose</x:v>
      </x:c>
      <x:c r="C15" s="9" t="str">
        <x:v>Runway</x:v>
      </x:c>
      <x:c r="D15" s="9" t="str">
        <x:v>Access</x:v>
      </x:c>
      <x:c r="E15" s="9" t="str">
        <x:v>Variety</x:v>
      </x:c>
      <x:c r="F15" s="2"/>
      <x:c r="G15" s="2"/>
      <x:c r="H15" s="2"/>
    </x:row>
    <x:row r="16" ht="30" customHeight="1">
      <x:c r="A16" s="2" t="str">
        <x:v>Missionary</x:v>
      </x:c>
      <x:c r="B16" s="12" t="n">
        <x:v>0.4</x:v>
      </x:c>
      <x:c r="C16" s="12" t="n">
        <x:v>0.15</x:v>
      </x:c>
      <x:c r="D16" s="12" t="n">
        <x:v>0.2</x:v>
      </x:c>
      <x:c r="E16" s="12" t="n">
        <x:v>0.25</x:v>
      </x:c>
      <x:c r="F16" s="2"/>
      <x:c r="G16" s="2"/>
      <x:c r="H16" s="2"/>
    </x:row>
    <x:row r="17" ht="30" customHeight="1">
      <x:c r="A17" s="2" t="str">
        <x:v>Safari</x:v>
      </x:c>
      <x:c r="B17" s="12" t="n">
        <x:v>0.4</x:v>
      </x:c>
      <x:c r="C17" s="12" t="n">
        <x:v>0.15</x:v>
      </x:c>
      <x:c r="D17" s="12" t="n">
        <x:v>0.2</x:v>
      </x:c>
      <x:c r="E17" s="12" t="n">
        <x:v>0.25</x:v>
      </x:c>
      <x:c r="F17" s="2"/>
      <x:c r="G17" s="2"/>
      <x:c r="H17" s="2"/>
    </x:row>
    <x:row r="18" ht="30" customHeight="1">
      <x:c r="A18" s="2" t="str">
        <x:v>Industrial</x:v>
      </x:c>
      <x:c r="B18" s="12" t="n">
        <x:v>0.4</x:v>
      </x:c>
      <x:c r="C18" s="12" t="n">
        <x:v>0.2</x:v>
      </x:c>
      <x:c r="D18" s="12" t="n">
        <x:v>0.2</x:v>
      </x:c>
      <x:c r="E18" s="12" t="n">
        <x:v>0.2</x:v>
      </x:c>
      <x:c r="F18" s="2"/>
      <x:c r="G18" s="2"/>
      <x:c r="H18" s="2"/>
    </x:row>
    <x:row r="19" ht="30" customHeight="1">
      <x:c r="A19" s="2" t="str">
        <x:v>Offshore</x:v>
      </x:c>
      <x:c r="B19" s="12" t="n">
        <x:v>0.4</x:v>
      </x:c>
      <x:c r="C19" s="12" t="n">
        <x:v>0.2</x:v>
      </x:c>
      <x:c r="D19" s="12" t="n">
        <x:v>0.2</x:v>
      </x:c>
      <x:c r="E19" s="12" t="n">
        <x:v>0.2</x:v>
      </x:c>
      <x:c r="F19" s="2"/>
      <x:c r="G19" s="2"/>
      <x:c r="H19" s="2"/>
    </x:row>
    <x:row r="20" ht="30" customHeight="1">
      <x:c r="A20" s="2"/>
      <x:c r="B20" s="2"/>
      <x:c r="C20" s="2"/>
      <x:c r="D20" s="2"/>
      <x:c r="E20" s="2"/>
      <x:c r="F20" s="2"/>
      <x:c r="G20" s="2"/>
      <x:c r="H20" s="2"/>
    </x:row>
    <x:row r="21" ht="30" customHeight="1">
      <x:c r="A21" s="2"/>
      <x:c r="B21" s="2"/>
      <x:c r="C21" s="2"/>
      <x:c r="D21" s="2"/>
      <x:c r="E21" s="2"/>
      <x:c r="F21" s="2"/>
      <x:c r="G21" s="2"/>
      <x:c r="H21" s="2"/>
    </x:row>
    <x:row r="22" ht="56" customHeight="1">
      <x:c r="A22" s="2" t="str">
        <x:v>Suitability /100</x:v>
      </x:c>
      <x:c r="B22" s="7" t="str">
        <x:v>20 × SUMPRODUCT(four 0–5 criteria, career weights). Ineligible purpose leaves score blank. A high score does not override landing, identity or aircraft holds.</x:v>
      </x:c>
      <x:c r="C22" s="7"/>
      <x:c r="D22" s="7"/>
      <x:c r="E22" s="7"/>
      <x:c r="F22" s="7"/>
      <x:c r="G22" s="7"/>
      <x:c r="H22" s="7"/>
    </x:row>
    <x:row r="23" ht="56" customHeight="1">
      <x:c r="A23" s="2" t="str">
        <x:v>Experience /25</x:v>
      </x:c>
      <x:c r="B23" s="7" t="str">
        <x:v>SUM(terrain, approach, runway interest, remoteness, network diversity). Anticipated design judgement; no new flight or scenery inspection. Never averaged with suitability.</x:v>
      </x:c>
      <x:c r="C23" s="7"/>
      <x:c r="D23" s="7"/>
      <x:c r="E23" s="7"/>
      <x:c r="F23" s="7"/>
      <x:c r="G23" s="7"/>
      <x:c r="H23" s="7"/>
    </x:row>
    <x:row r="24" ht="56" customHeight="1">
      <x:c r="A24" s="2" t="str">
        <x:v>Rubric 0–5</x:v>
      </x:c>
      <x:c r="B24" s="7" t="str">
        <x:v>0 absent/incompatible; 1 major gaps; 2 weak/limited; 3 credible with material limits; 4 strong evidence/fit; 5 strongest purpose/network fit. Runway 1 means unknown, not a short-strip claim.</x:v>
      </x:c>
      <x:c r="C24" s="7"/>
      <x:c r="D24" s="7"/>
      <x:c r="E24" s="7"/>
      <x:c r="F24" s="7"/>
      <x:c r="G24" s="7"/>
      <x:c r="H24" s="7"/>
    </x:row>
    <x:row r="25" ht="56" customHeight="1">
      <x:c r="A25" s="2" t="str">
        <x:v>Eligibility</x:v>
      </x:c>
      <x:c r="B25" s="7" t="str">
        <x:v>Purpose gate is conceptual career eligibility. All performance decisions remain conditional; no aircraft is approved by this research. Unconsidered career pairs are ineligible for lack of evidenced purpose.</x:v>
      </x:c>
      <x:c r="C25" s="7"/>
      <x:c r="D25" s="7"/>
      <x:c r="E25" s="7"/>
      <x:c r="F25" s="7"/>
      <x:c r="G25" s="7"/>
      <x:c r="H25" s="7"/>
    </x:row>
    <x:row r="26" ht="56" customHeight="1">
      <x:c r="A26" s="2" t="str">
        <x:v>Time and distance</x:v>
      </x:c>
      <x:c r="B26" s="7" t="str">
        <x:v>Spherical great-circle distance, radius 3440.065 NM (planning approximation to WGS84). 10% routing factor; conservative cruise plus climb/circuit allowance. No wind/terrain/weather clearance.</x:v>
      </x:c>
      <x:c r="C26" s="7"/>
      <x:c r="D26" s="7"/>
      <x:c r="E26" s="7"/>
      <x:c r="F26" s="7"/>
      <x:c r="G26" s="7"/>
      <x:c r="H26" s="7"/>
    </x:row>
    <x:row r="27" ht="56" customHeight="1">
      <x:c r="A27" s="2" t="str">
        <x:v>Ground operations</x:v>
      </x:c>
      <x:c r="B27" s="7" t="str">
        <x:v>Times shown are airborne minutes, rounded up. Add 15 min piston/turboprop or 25 min jet for indicative ground/block time, then any lodge/clinic road transfer.</x:v>
      </x:c>
      <x:c r="C27" s="7"/>
      <x:c r="D27" s="7"/>
      <x:c r="E27" s="7"/>
      <x:c r="F27" s="7"/>
      <x:c r="G27" s="7"/>
      <x:c r="H27" s="7"/>
    </x:row>
    <x:row r="28" ht="56" customHeight="1">
      <x:c r="A28" s="2" t="str">
        <x:v>Uncertainty</x:v>
      </x:c>
      <x:c r="B28" s="7" t="str">
        <x:v>Allow ±20% airborne planning uncertainty, more with headwind/routing. Fuel/reserves, alternates, field length/width, slope, surface, obstacles, temperature and mass must be checked for exact simulator aircraft.</x:v>
      </x:c>
      <x:c r="C28" s="7"/>
      <x:c r="D28" s="7"/>
      <x:c r="E28" s="7"/>
      <x:c r="F28" s="7"/>
      <x:c r="G28" s="7"/>
      <x:c r="H28" s="7"/>
    </x:row>
    <x:row r="29" ht="56" customHeight="1">
      <x:c r="A29" s="2" t="str">
        <x:v>Shortlist behavior</x:v>
      </x:c>
      <x:c r="B29" s="7" t="str">
        <x:v>Live SORT/FILTER views include purpose-eligible Priority validation and Extended network only. Scoring contains every held/rejected pair. Changing a 0–5 input updates score and shortlist order.</x:v>
      </x:c>
      <x:c r="C29" s="7"/>
      <x:c r="D29" s="7"/>
      <x:c r="E29" s="7"/>
      <x:c r="F29" s="7"/>
      <x:c r="G29" s="7"/>
      <x:c r="H29" s="7"/>
    </x:row>
    <x:row r="30" ht="56" customHeight="1">
      <x:c r="A30" s="2" t="str">
        <x:v>MSFS meaning</x:v>
      </x:c>
      <x:c r="B30" s="7" t="str">
        <x:v>Confirmed = geographic association with cached facility (or retained manual evidence). Database presence does not confirm runway/scenery, spawning, parking or passenger/payload compatibility.</x:v>
      </x:c>
      <x:c r="C30" s="7"/>
      <x:c r="D30" s="7"/>
      <x:c r="E30" s="7"/>
      <x:c r="F30" s="7"/>
      <x:c r="G30" s="7"/>
      <x:c r="H30" s="7"/>
    </x:row>
    <x:row r="31" ht="56" customHeight="1">
      <x:c r="A31" s="2" t="str">
        <x:v>Coordinate screen</x:v>
      </x:c>
      <x:c r="B31" s="7" t="str">
        <x:v>Offset &gt;5 NM is a conservative research conflict flag, not new runtime policy. Preserve immutable accepted route coordinates; later correction needs reviewed versioning.</x:v>
      </x:c>
      <x:c r="C31" s="7"/>
      <x:c r="D31" s="7"/>
      <x:c r="E31" s="7"/>
      <x:c r="F31" s="7"/>
      <x:c r="G31" s="7"/>
      <x:c r="H31" s="7"/>
    </x:row>
    <x:row r="32" ht="56" customHeight="1">
      <x:c r="A32" s="2" t="str">
        <x:v>Evidence dates</x:v>
      </x:c>
      <x:c r="B32" s="7" t="str">
        <x:v>Research 2026-10-29; local airport-only cache observed 2026-10-27, SDK 1.2.4 / simulator 1,9,21,0. Dataset downloaded 2026-10-29. No simulator query or launch in this task.</x:v>
      </x:c>
      <x:c r="C32" s="7"/>
      <x:c r="D32" s="7"/>
      <x:c r="E32" s="7"/>
      <x:c r="F32" s="7"/>
      <x:c r="G32" s="7"/>
      <x:c r="H32" s="7"/>
    </x:row>
    <x:row r="33" ht="56" customHeight="1">
      <x:c r="A33" s="2" t="str">
        <x:v>Workbook scope</x:v>
      </x:c>
      <x:c r="B33" s="7" t="str">
        <x:v>One destination master; career scores stored once on Scoring and linked into Catalogue. Static CSV/JSON/map exports are dated snapshots; regenerate to reflect changes.</x:v>
      </x:c>
      <x:c r="C33" s="7"/>
      <x:c r="D33" s="7"/>
      <x:c r="E33" s="7"/>
      <x:c r="F33" s="7"/>
      <x:c r="G33" s="7"/>
      <x:c r="H33" s="7"/>
    </x:row>
    <x:row r="34" ht="56" customHeight="1">
      <x:c r="A34" s="2" t="str">
        <x:v>Runway units</x:v>
      </x:c>
      <x:c r="B34" s="7" t="str">
        <x:v>Database feet converted ×0.3048 to metres; longest open runway selected where data exists. Detailed conflicting operator reports remain in landing notes; no guessed width or orientation.</x:v>
      </x:c>
      <x:c r="C34" s="7"/>
      <x:c r="D34" s="7"/>
      <x:c r="E34" s="7"/>
      <x:c r="F34" s="7"/>
      <x:c r="G34" s="7"/>
      <x:c r="H34" s="7"/>
    </x:row>
    <x:row r="35" ht="56" customHeight="1">
      <x:c r="A35" s="2" t="str">
        <x:v>Aircraft evidence</x:v>
      </x:c>
      <x:c r="B35" s="7" t="str">
        <x:v>Manufacturer maximum performance is context only, not exact MSFS/add-on performance. Dispatch kg budgets are gameplay fixtures and never performance limits.</x:v>
      </x:c>
      <x:c r="C35" s="7"/>
      <x:c r="D35" s="7"/>
      <x:c r="E35" s="7"/>
      <x:c r="F35" s="7"/>
      <x:c r="G35" s="7"/>
      <x:c r="H35" s="7"/>
    </x:row>
    <x:row r="36" ht="30" customHeight="1">
      <x:c r="A36" s="2"/>
      <x:c r="B36" s="2"/>
      <x:c r="C36" s="2"/>
      <x:c r="D36" s="2"/>
      <x:c r="E36" s="2"/>
      <x:c r="F36" s="2"/>
      <x:c r="G36" s="2"/>
      <x:c r="H36" s="2"/>
    </x:row>
    <x:row r="37" ht="30" customHeight="1">
      <x:c r="A37" s="2"/>
      <x:c r="B37" s="2"/>
      <x:c r="C37" s="2"/>
      <x:c r="D37" s="2"/>
      <x:c r="E37" s="2"/>
      <x:c r="F37" s="2"/>
      <x:c r="G37" s="2"/>
      <x:c r="H37" s="2"/>
    </x:row>
    <x:row r="38" ht="30" customHeight="1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2"/>
      <x:c r="B39" s="2"/>
      <x:c r="C39" s="2"/>
      <x:c r="D39" s="2"/>
      <x:c r="E39" s="2"/>
      <x:c r="F39" s="2"/>
      <x:c r="G39" s="2"/>
      <x:c r="H39" s="2"/>
    </x:row>
    <x:row r="40" ht="30" customHeight="1">
      <x:c r="A40" s="2"/>
      <x:c r="B40" s="2"/>
      <x:c r="C40" s="2"/>
      <x:c r="D40" s="2"/>
      <x:c r="E40" s="2"/>
      <x:c r="F40" s="2"/>
      <x:c r="G40" s="2"/>
      <x:c r="H40" s="2"/>
    </x:row>
    <x:row r="41" ht="30" customHeight="1">
      <x:c r="A41" s="2"/>
      <x:c r="B41" s="2"/>
      <x:c r="C41" s="2"/>
      <x:c r="D41" s="2"/>
      <x:c r="E41" s="2"/>
      <x:c r="F41" s="2"/>
      <x:c r="G41" s="2"/>
      <x:c r="H41" s="2"/>
    </x:row>
    <x:row r="42" ht="30" customHeight="1">
      <x:c r="A42" s="2"/>
      <x:c r="B42" s="2"/>
      <x:c r="C42" s="2"/>
      <x:c r="D42" s="2"/>
      <x:c r="E42" s="2"/>
      <x:c r="F42" s="2"/>
      <x:c r="G42" s="2"/>
      <x:c r="H42" s="2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  <x:mergeCell ref="B29:H29"/>
    <x:mergeCell ref="B30:H30"/>
    <x:mergeCell ref="B31:H31"/>
    <x:mergeCell ref="B32:H32"/>
    <x:mergeCell ref="B33:H33"/>
    <x:mergeCell ref="B34:H34"/>
    <x:mergeCell ref="B35:H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04E5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17" hidden="0" customWidth="1"/>
    <x:col min="4" max="4" width="17" hidden="0" customWidth="1"/>
    <x:col min="5" max="5" width="40" hidden="0" customWidth="1"/>
    <x:col min="6" max="6" width="84" hidden="0" customWidth="1"/>
    <x:col min="7" max="7" width="8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4" t="str">
        <x:v>Phase-two service areas · clinic points are not runway sites</x:v>
      </x:c>
      <x:c r="B2" s="5"/>
      <x:c r="C2" s="5"/>
      <x:c r="D2" s="5"/>
      <x:c r="E2" s="5"/>
      <x:c r="F2" s="5"/>
      <x:c r="G2" s="5"/>
    </x:row>
    <x:row r="3" ht="30" customHeight="1">
      <x:c r="A3" s="2"/>
      <x:c r="B3" s="2"/>
      <x:c r="C3" s="2"/>
      <x:c r="D3" s="2"/>
      <x:c r="E3" s="2"/>
      <x:c r="F3" s="2"/>
      <x:c r="G3" s="2"/>
    </x:row>
    <x:row r="4" ht="30" customHeight="1">
      <x:c r="A4" s="2"/>
      <x:c r="B4" s="2"/>
      <x:c r="C4" s="2"/>
      <x:c r="D4" s="2"/>
      <x:c r="E4" s="2"/>
      <x:c r="F4" s="2"/>
      <x:c r="G4" s="2"/>
    </x:row>
    <x:row r="5" ht="44" customHeight="1">
      <x:c r="A5" s="13" t="str">
        <x:v>Research key</x:v>
      </x:c>
      <x:c r="B5" s="13" t="str">
        <x:v>Service area</x:v>
      </x:c>
      <x:c r="C5" s="13" t="str">
        <x:v>Latitude</x:v>
      </x:c>
      <x:c r="D5" s="13" t="str">
        <x:v>Longitude</x:v>
      </x:c>
      <x:c r="E5" s="13" t="str">
        <x:v>Purpose</x:v>
      </x:c>
      <x:c r="F5" s="13" t="str">
        <x:v>Assessment / prerequisites</x:v>
      </x:c>
      <x:c r="G5" s="13" t="str">
        <x:v>Source</x:v>
      </x:c>
    </x:row>
    <x:row r="6" ht="125" customHeight="1">
      <x:c r="A6" s="2" t="str">
        <x:v>custom-etanga</x:v>
      </x:c>
      <x:c r="B6" s="2" t="str">
        <x:v>Etanga Clinic service area</x:v>
      </x:c>
      <x:c r="C6" s="16" t="n">
        <x:v>-17.8675792</x:v>
      </x:c>
      <x:c r="D6" s="16" t="n">
        <x:v>13.025594</x:v>
      </x:c>
      <x:c r="E6" s="7" t="str">
        <x:v>Missionary medical/community supplies</x:v>
      </x:c>
      <x:c r="F6" s="7" t="str">
        <x:v>Strong medical network need. First search for nearby existing strip; no runway absence established. Candidate landing survey needs terrain, drainage, land-use and ground-transfer review.</x:v>
      </x:c>
      <x:c r="G6" s="7" t="str">
        <x:v>https://www.nip.com.na/wp-content/uploads/2025/09/REQUEST-FOR-INFORMATION-Provision-of-drone-delivery-services-26-Sept-2025.pdf</x:v>
      </x:c>
    </x:row>
    <x:row r="7" ht="125" customHeight="1">
      <x:c r="A7" s="2" t="str">
        <x:v>custom-otjondeka</x:v>
      </x:c>
      <x:c r="B7" s="2" t="str">
        <x:v>Otjondeka Clinic service area</x:v>
      </x:c>
      <x:c r="C7" s="16" t="n">
        <x:v>-18.630306</x:v>
      </x:c>
      <x:c r="D7" s="16" t="n">
        <x:v>14.234317</x:v>
      </x:c>
      <x:c r="E7" s="7" t="str">
        <x:v>Missionary medical/community supplies</x:v>
      </x:c>
      <x:c r="F7" s="7" t="str">
        <x:v>Named remote clinic and sample route. Nearer outreach network than northern border sites, but still long from Eros; do not relocate the operating base without design approval.</x:v>
      </x:c>
      <x:c r="G7" s="7" t="str">
        <x:v>https://www.nip.com.na/wp-content/uploads/2025/09/REQUEST-FOR-INFORMATION-Provision-of-drone-delivery-services-26-Sept-2025.pdf</x:v>
      </x:c>
    </x:row>
    <x:row r="8" ht="125" customHeight="1">
      <x:c r="A8" s="2" t="str">
        <x:v>custom-oruvandjei</x:v>
      </x:c>
      <x:c r="B8" s="2" t="str">
        <x:v>Oruvandjei Clinic service area</x:v>
      </x:c>
      <x:c r="C8" s="16" t="n">
        <x:v>-18.9190037</x:v>
      </x:c>
      <x:c r="D8" s="16" t="n">
        <x:v>14.1067336</x:v>
      </x:c>
      <x:c r="E8" s="7" t="str">
        <x:v>Missionary medical/community supplies</x:v>
      </x:c>
      <x:c r="F8" s="7" t="str">
        <x:v>Named outreach clinic, potential community supply destination. Published point is clinic location only; slope/obstacles/land rights and alternative strips unresolved.</x:v>
      </x:c>
      <x:c r="G8" s="7" t="str">
        <x:v>https://www.nip.com.na/wp-content/uploads/2025/09/REQUEST-FOR-INFORMATION-Provision-of-drone-delivery-services-26-Sept-2025.pdf</x:v>
      </x:c>
    </x:row>
    <x:row r="9" ht="30" customHeight="1">
      <x:c r="A9" s="2"/>
      <x:c r="B9" s="2"/>
      <x:c r="C9" s="2"/>
      <x:c r="D9" s="2"/>
      <x:c r="E9" s="2"/>
      <x:c r="F9" s="2"/>
      <x:c r="G9" s="2"/>
    </x:row>
    <x:row r="10" ht="30" customHeight="1">
      <x:c r="A10" s="2"/>
      <x:c r="B10" s="2"/>
      <x:c r="C10" s="2"/>
      <x:c r="D10" s="2"/>
      <x:c r="E10" s="2"/>
      <x:c r="F10" s="2"/>
      <x:c r="G10" s="2"/>
    </x:row>
    <x:row r="11" ht="30" customHeight="1">
      <x:c r="A11" s="2"/>
      <x:c r="B11" s="2"/>
      <x:c r="C11" s="2"/>
      <x:c r="D11" s="2"/>
      <x:c r="E11" s="2"/>
      <x:c r="F11" s="2"/>
      <x:c r="G11" s="2"/>
    </x:row>
    <x:row r="12" ht="30" customHeight="1">
      <x:c r="A12" s="2"/>
      <x:c r="B12" s="2"/>
      <x:c r="C12" s="2"/>
      <x:c r="D12" s="2"/>
      <x:c r="E12" s="2"/>
      <x:c r="F12" s="2"/>
      <x:c r="G12" s="2"/>
    </x:row>
  </x:sheetData>
  <x:pageMargins left="0.7" right="0.7" top="0.75" bottom="0.75" header="0.3" footer="0.3"/>
  <x:tableParts count="1">
    <x:tablePart xmlns:r="http://schemas.openxmlformats.org/officeDocument/2006/relationships" r:id="Rfaa2a451bd364875"/>
  </x:tableParts>
</x:worksheet>
</file>